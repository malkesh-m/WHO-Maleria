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Malaria Toolkit\Requirements\"/>
    </mc:Choice>
  </mc:AlternateContent>
  <bookViews>
    <workbookView xWindow="0" yWindow="0" windowWidth="20490" windowHeight="7755" activeTab="1"/>
  </bookViews>
  <sheets>
    <sheet name="Instructions" sheetId="73" r:id="rId1"/>
    <sheet name="Full indicator list" sheetId="59" r:id="rId2"/>
    <sheet name="Strategies" sheetId="118" r:id="rId3"/>
  </sheets>
  <externalReferences>
    <externalReference r:id="rId4"/>
    <externalReference r:id="rId5"/>
  </externalReferences>
  <definedNames>
    <definedName name="_xlnm._FilterDatabase" localSheetId="1" hidden="1">'Full indicator list'!$A$5:$R$45</definedName>
    <definedName name="BF13_" localSheetId="1">#REF!</definedName>
    <definedName name="BF13_">#REF!</definedName>
    <definedName name="BF14_" localSheetId="1">#REF!</definedName>
    <definedName name="BF14_">#REF!</definedName>
    <definedName name="BF15_" localSheetId="1">#REF!</definedName>
    <definedName name="BF15_">#REF!</definedName>
    <definedName name="DQ04d">'[1]CHW data Entry'!$AD$2:$AD$8</definedName>
    <definedName name="Gender">'[1]CHW data Entry'!$AE$2:$AE$3</definedName>
    <definedName name="IU07_" localSheetId="1">#REF!</definedName>
    <definedName name="IU07_">#REF!</definedName>
    <definedName name="IU21_" localSheetId="1">#REF!</definedName>
    <definedName name="IU21_">#REF!</definedName>
    <definedName name="IU22_" localSheetId="1">#REF!</definedName>
    <definedName name="IU22_">#REF!</definedName>
    <definedName name="IU23_" localSheetId="1">#REF!</definedName>
    <definedName name="IU23_">#REF!</definedName>
    <definedName name="IU38_" localSheetId="1">#REF!</definedName>
    <definedName name="IU38_">#REF!</definedName>
    <definedName name="OF06_" localSheetId="1">#REF!</definedName>
    <definedName name="OF06_">#REF!</definedName>
    <definedName name="Options">[2]ProDisUS!$Y$2:$Y$3</definedName>
    <definedName name="Province">[2]ProDisUS!$L$2:$L$12</definedName>
    <definedName name="Scale">'[1]CHW data Entry'!$AG$2:$AG$8</definedName>
    <definedName name="Schooling">'[1]CHW data Entry'!$AF$2:$AF$7</definedName>
    <definedName name="TF08_" localSheetId="1">#REF!</definedName>
    <definedName name="TF08_">#REF!</definedName>
    <definedName name="UnidadeSaude">'[2]Health Facility'!$BG$2:$BG$16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5" i="59" l="1"/>
  <c r="H90" i="59" l="1"/>
  <c r="H18" i="59"/>
  <c r="H7" i="59"/>
  <c r="H100" i="59" l="1"/>
  <c r="H111" i="59"/>
  <c r="H107" i="59"/>
  <c r="H104" i="59"/>
  <c r="H95" i="59"/>
  <c r="H86" i="59"/>
  <c r="H80" i="59"/>
  <c r="H75" i="59"/>
  <c r="H70" i="59"/>
  <c r="H60" i="59"/>
  <c r="H57" i="59"/>
  <c r="H49" i="59"/>
  <c r="H42" i="59"/>
  <c r="H33" i="59"/>
</calcChain>
</file>

<file path=xl/sharedStrings.xml><?xml version="1.0" encoding="utf-8"?>
<sst xmlns="http://schemas.openxmlformats.org/spreadsheetml/2006/main" count="852" uniqueCount="360">
  <si>
    <t>ANALYSIS</t>
  </si>
  <si>
    <t>Sub-objective</t>
  </si>
  <si>
    <t>Timeliness of reporting</t>
  </si>
  <si>
    <t>Description</t>
  </si>
  <si>
    <t>DATA ACCESS</t>
  </si>
  <si>
    <t>Equipment availability</t>
  </si>
  <si>
    <t>Count</t>
  </si>
  <si>
    <t>Proportion</t>
  </si>
  <si>
    <t>Indicator</t>
  </si>
  <si>
    <t xml:space="preserve">Infrastructure availability </t>
  </si>
  <si>
    <t>Documented resource allocation and troubleshooting</t>
  </si>
  <si>
    <t>Score based on criteria</t>
  </si>
  <si>
    <t>Number of reporting tools</t>
  </si>
  <si>
    <t xml:space="preserve">Objective 
</t>
  </si>
  <si>
    <t xml:space="preserve">Indicator No. 
</t>
  </si>
  <si>
    <t xml:space="preserve">Priority
</t>
  </si>
  <si>
    <t>Standardized case definitions</t>
  </si>
  <si>
    <t xml:space="preserve">Evidence of surveillance planning </t>
  </si>
  <si>
    <t>Proportion/ Qualitative</t>
  </si>
  <si>
    <t>Job aids</t>
  </si>
  <si>
    <t>DATA QUALITY</t>
  </si>
  <si>
    <t>DATA USE</t>
  </si>
  <si>
    <t>CONTEXT AND INFRASTRUCTURE</t>
  </si>
  <si>
    <t>BEHAVIOR</t>
  </si>
  <si>
    <t>CASE MANAGEMENT</t>
  </si>
  <si>
    <t>GOVERNANCE</t>
  </si>
  <si>
    <t xml:space="preserve">Supervision plan in place </t>
  </si>
  <si>
    <t>Supervision visit quality</t>
  </si>
  <si>
    <t>Desk review + survey</t>
  </si>
  <si>
    <t>Output/ analysis type</t>
  </si>
  <si>
    <t>DQA only (requires service-delivery level data collection of information from source documents (patient register books, forms or other recording and reporting materials))</t>
  </si>
  <si>
    <t>Governance structure in place</t>
  </si>
  <si>
    <t>Access frequency</t>
  </si>
  <si>
    <t>Score based on criteria, using Likert scales</t>
  </si>
  <si>
    <r>
      <t xml:space="preserve">Average score of respondents confidence to complete surveillance tasks* (based on a scale of 1 (“Not able”) to 5 (“Very confident in my abilities”) and 98 is "not applicable or relevant to my role") 
</t>
    </r>
    <r>
      <rPr>
        <b/>
        <sz val="10"/>
        <rFont val="Calibri"/>
        <family val="2"/>
        <scheme val="minor"/>
      </rPr>
      <t>Numerator:</t>
    </r>
    <r>
      <rPr>
        <sz val="10"/>
        <rFont val="Calibri"/>
        <family val="2"/>
        <scheme val="minor"/>
      </rPr>
      <t xml:space="preserve"> Sum of average Likert scores from respondents for each of the 7 criteria (removing '98'/NAs)
</t>
    </r>
    <r>
      <rPr>
        <b/>
        <sz val="10"/>
        <rFont val="Calibri"/>
        <family val="2"/>
        <scheme val="minor"/>
      </rPr>
      <t>Denominator:</t>
    </r>
    <r>
      <rPr>
        <sz val="10"/>
        <rFont val="Calibri"/>
        <family val="2"/>
        <scheme val="minor"/>
      </rPr>
      <t xml:space="preserve"> Number of respondents 
*where tasks are:
-record malaria data in source documents (patient register, etc.)
-report malaria data to the district/etc. 
-perform data quality checks
-calculate malaria indicators
-prepare data visuals of malaria indicators
-interpret malaria data
-use information for problem solving or making decisions</t>
    </r>
    <r>
      <rPr>
        <i/>
        <sz val="10"/>
        <rFont val="Calibri"/>
        <family val="2"/>
        <scheme val="minor"/>
      </rPr>
      <t xml:space="preserve">
 </t>
    </r>
    <r>
      <rPr>
        <sz val="10"/>
        <rFont val="Calibri"/>
        <family val="2"/>
        <scheme val="minor"/>
      </rPr>
      <t xml:space="preserve">
</t>
    </r>
  </si>
  <si>
    <t>Supervision visit frequency</t>
  </si>
  <si>
    <t>Adequate commodities for testing</t>
  </si>
  <si>
    <t>Adequate commodities for treatment</t>
  </si>
  <si>
    <t>Perceived complexity of recording process</t>
  </si>
  <si>
    <t>Score based on Likert scale</t>
  </si>
  <si>
    <t>Perceived complexity of reporting process</t>
  </si>
  <si>
    <t>Perceived complexity of validation process</t>
  </si>
  <si>
    <t>Perceived complexity of process to access data</t>
  </si>
  <si>
    <t>Quality controls are built in to electronic systems</t>
  </si>
  <si>
    <t>Frequency of quality control</t>
  </si>
  <si>
    <t>Number of expected outputs from routine analysis</t>
  </si>
  <si>
    <t>Perceived complexity of routine analysis process</t>
  </si>
  <si>
    <t xml:space="preserve">SUPERVISION </t>
  </si>
  <si>
    <t>Data reviewed for monitoring</t>
  </si>
  <si>
    <t>Surveillance stakeholders</t>
  </si>
  <si>
    <t xml:space="preserve">National funding </t>
  </si>
  <si>
    <t>Guideline availability</t>
  </si>
  <si>
    <t>Guidelines content</t>
  </si>
  <si>
    <t xml:space="preserve">Information Systems </t>
  </si>
  <si>
    <t>SUPPORT</t>
  </si>
  <si>
    <t>Surveillance staff availability</t>
  </si>
  <si>
    <t>RESOURCES (STAFF, EQUIPMENT, INFRASTRUCTURE)</t>
  </si>
  <si>
    <t xml:space="preserve">Surveillance staff perceived abilities </t>
  </si>
  <si>
    <t>Surveillance staff knowledge</t>
  </si>
  <si>
    <t>Training</t>
  </si>
  <si>
    <t>Data used for foci classification</t>
  </si>
  <si>
    <t>Information system attributes are adequate</t>
  </si>
  <si>
    <t>SURVEILLANCE GUIDELINES &amp; SOPs</t>
  </si>
  <si>
    <t>All sectors mandated to report</t>
  </si>
  <si>
    <t>Surveillance strategies reporting malaria indicators</t>
  </si>
  <si>
    <t>SURVEILLANCE SECTORS &amp; STRATEGIES</t>
  </si>
  <si>
    <t>INFORMATION SYSTEMS</t>
  </si>
  <si>
    <t>PROMOTION OF AN INFORMATION CULTURE</t>
  </si>
  <si>
    <t>4.1</t>
  </si>
  <si>
    <t>Service-delivery reporting rate</t>
  </si>
  <si>
    <t>Data used for case classification</t>
  </si>
  <si>
    <r>
      <t xml:space="preserve">Average score (based on a Likert scale of 1 (“strongly disagree”) to 5 (“strongly agree”)) of respondents perception* of the complexity of the reporting process
</t>
    </r>
    <r>
      <rPr>
        <b/>
        <sz val="10"/>
        <rFont val="Calibri"/>
        <family val="2"/>
        <scheme val="minor"/>
      </rPr>
      <t>Numerator:</t>
    </r>
    <r>
      <rPr>
        <sz val="10"/>
        <rFont val="Calibri"/>
        <family val="2"/>
        <scheme val="minor"/>
      </rPr>
      <t xml:space="preserve"> Sum of average Likert scores from respondents for each of the 4 criteria 
</t>
    </r>
    <r>
      <rPr>
        <b/>
        <sz val="10"/>
        <rFont val="Calibri"/>
        <family val="2"/>
        <scheme val="minor"/>
      </rPr>
      <t>Denominator:</t>
    </r>
    <r>
      <rPr>
        <sz val="10"/>
        <rFont val="Calibri"/>
        <family val="2"/>
        <scheme val="minor"/>
      </rPr>
      <t xml:space="preserve"> 4 criteria x 5 possible points
</t>
    </r>
    <r>
      <rPr>
        <i/>
        <sz val="10"/>
        <rFont val="Calibri"/>
        <family val="2"/>
        <scheme val="minor"/>
      </rPr>
      <t>*where respondents perception of complexity is measured based on rankings for the following criteria:
-I understand data elements/ variables/ indicators reported for malaria surveillance
-The process for data reporting (tools, personnel, frequency) is clearly documented in guidelines or SOPs
-I feel that reporting malaria data for routine surveillance is straightforward and streamlined (i.e. no overlapping or duplicative processes, multiple forms, etc.)
-I know who to ask or what documents to reference for troubleshooting and support for data reporting</t>
    </r>
    <r>
      <rPr>
        <sz val="10"/>
        <rFont val="Calibri"/>
        <family val="2"/>
        <scheme val="minor"/>
      </rPr>
      <t xml:space="preserve">
</t>
    </r>
  </si>
  <si>
    <t>Surveillance staff are encouraged to use data</t>
  </si>
  <si>
    <t>Reporting process adheres to WHO recommendation</t>
  </si>
  <si>
    <t>PERFORMANCE</t>
  </si>
  <si>
    <t>Desk review</t>
  </si>
  <si>
    <t>Completeness of reporting</t>
  </si>
  <si>
    <t>DQA; desk level</t>
  </si>
  <si>
    <t>2.1.2</t>
  </si>
  <si>
    <t xml:space="preserve">Service-delivery participation rate
</t>
  </si>
  <si>
    <t xml:space="preserve">Proportion of suspects tested
</t>
  </si>
  <si>
    <t>Surveillance strategies adhere to WHO guidelines</t>
  </si>
  <si>
    <t>DQA; service delivery level (requires service-delivery level data collection of information from source documents (patient register books or other recording materials))</t>
  </si>
  <si>
    <t xml:space="preserve">Data are used to produce routine outputs </t>
  </si>
  <si>
    <t xml:space="preserve">Subnational level funding </t>
  </si>
  <si>
    <t>Commodity tracking</t>
  </si>
  <si>
    <t>Vital registration system has high national coverage and quality</t>
  </si>
  <si>
    <t>Error in data sources</t>
  </si>
  <si>
    <t>National malaria integrated database (repository)</t>
  </si>
  <si>
    <t xml:space="preserve">Passive care-seeking rate
</t>
  </si>
  <si>
    <t xml:space="preserve"> SURVEILLANCE SYSTEM COVERAGE</t>
  </si>
  <si>
    <t xml:space="preserve">Proportion of cases with symptoms diagnosed within 24 hours </t>
  </si>
  <si>
    <t>Data used for strategic, policy and operational processes</t>
  </si>
  <si>
    <t xml:space="preserve">Data used for decisions to improve the surveillance system </t>
  </si>
  <si>
    <t xml:space="preserve">The country has an integrated national electronic malaria database which collects information on cases, interventions, commodities and  finances, with subnational disaggregation of data e.g national malaria data repository </t>
  </si>
  <si>
    <t>Timeliness of case notification reports</t>
  </si>
  <si>
    <t>Timeliness of case investigation reports</t>
  </si>
  <si>
    <t>Completeness of case investigation reports</t>
  </si>
  <si>
    <t>Timeliness of foci investigation reports</t>
  </si>
  <si>
    <t>Use of surveillance data quality targets</t>
  </si>
  <si>
    <t>Surveillance staff are motivated to perform  surveillance tasks</t>
  </si>
  <si>
    <t>Proportion of cases that sought care within 48 hours of symptom onset</t>
  </si>
  <si>
    <t>Number of recording forms/tools</t>
  </si>
  <si>
    <t>SURVEILLANCE STAFF PROFICIENCY</t>
  </si>
  <si>
    <t>DQA; desk level or service delivery level</t>
  </si>
  <si>
    <t>Disaggregation</t>
  </si>
  <si>
    <t xml:space="preserve">Geography, health sector (public/private), age group </t>
  </si>
  <si>
    <t>Geography</t>
  </si>
  <si>
    <t>Report subnational values where possible</t>
  </si>
  <si>
    <t>Survey</t>
  </si>
  <si>
    <t xml:space="preserve">A common unique identifier exists </t>
  </si>
  <si>
    <t>A Master Facility List exists which has identifiers for individual health facilities</t>
  </si>
  <si>
    <t>A Master Health Facility list exists</t>
  </si>
  <si>
    <t>Funding source (e.g. donor v. national)</t>
  </si>
  <si>
    <t xml:space="preserve">Desk review +/or survey  </t>
  </si>
  <si>
    <r>
      <t xml:space="preserve">RECORDING
</t>
    </r>
    <r>
      <rPr>
        <b/>
        <i/>
        <sz val="10"/>
        <rFont val="Calibri"/>
        <family val="2"/>
        <scheme val="minor"/>
      </rPr>
      <t>(assessed on forms/tools recording information at the health facility level)</t>
    </r>
  </si>
  <si>
    <r>
      <t xml:space="preserve">REPORTING
</t>
    </r>
    <r>
      <rPr>
        <b/>
        <i/>
        <sz val="10"/>
        <color theme="1"/>
        <rFont val="Calibri"/>
        <family val="2"/>
        <scheme val="minor"/>
      </rPr>
      <t>(Transmission of data from the health facility to the national level)</t>
    </r>
  </si>
  <si>
    <r>
      <t>Users with access</t>
    </r>
    <r>
      <rPr>
        <b/>
        <sz val="10"/>
        <color rgb="FFFF0000"/>
        <rFont val="Calibri"/>
        <family val="2"/>
        <scheme val="minor"/>
      </rPr>
      <t xml:space="preserve"> </t>
    </r>
  </si>
  <si>
    <t>Level of the health system, role and/or training type</t>
  </si>
  <si>
    <t>Drug efficacy monitoring is integrated into case surveillance, with parasitologic testing (at a minimum) on day 3 and 28 (or 42, depending on the type of artemisinin-based combination therapy).</t>
  </si>
  <si>
    <t>Drug efficacy monitoring is integrated into case surveillance</t>
  </si>
  <si>
    <t>1.1.9</t>
  </si>
  <si>
    <t>Molecular analysis is carried out for monitoring resistance</t>
  </si>
  <si>
    <t>Completeness of core variables within reports</t>
  </si>
  <si>
    <t>Consistency between core variables</t>
  </si>
  <si>
    <t>Consistency over time for core indicators</t>
  </si>
  <si>
    <t>Concordance of core variables between two reporting systems</t>
  </si>
  <si>
    <t>Completeness of core variables within registers</t>
  </si>
  <si>
    <t>Concordance of core variables between registers and aggregated reports</t>
  </si>
  <si>
    <t>Optional</t>
  </si>
  <si>
    <t xml:space="preserve">Optional </t>
  </si>
  <si>
    <t>Malaria Surveillance Assessment Toolkit: Assessment Framework Tool</t>
  </si>
  <si>
    <t>Elimination</t>
  </si>
  <si>
    <t>Burden reduction</t>
  </si>
  <si>
    <t>None</t>
  </si>
  <si>
    <t xml:space="preserve">Burden reduction </t>
  </si>
  <si>
    <t>Yes</t>
  </si>
  <si>
    <t>Entomological surveillance</t>
  </si>
  <si>
    <t>Burden reduction + Commodity tracking</t>
  </si>
  <si>
    <t>Elimination + Commodity tracking</t>
  </si>
  <si>
    <t xml:space="preserve">Case surveillance strategies </t>
  </si>
  <si>
    <t>1.1.1</t>
  </si>
  <si>
    <t>1.1.2</t>
  </si>
  <si>
    <t>1.1.3</t>
  </si>
  <si>
    <t>1.1.4</t>
  </si>
  <si>
    <t>1.1.5</t>
  </si>
  <si>
    <t>1.1.6</t>
  </si>
  <si>
    <t>1.1.7</t>
  </si>
  <si>
    <t>1.1.8</t>
  </si>
  <si>
    <t>1.2.1</t>
  </si>
  <si>
    <t>1.2.2</t>
  </si>
  <si>
    <t>1.2.3</t>
  </si>
  <si>
    <t>1.2.4</t>
  </si>
  <si>
    <t>1.2.5</t>
  </si>
  <si>
    <t>1.2.6</t>
  </si>
  <si>
    <t>1.2.7</t>
  </si>
  <si>
    <t>1.2.8</t>
  </si>
  <si>
    <t>1.2.9</t>
  </si>
  <si>
    <t>1.2.10</t>
  </si>
  <si>
    <t>1.2.11</t>
  </si>
  <si>
    <t>1.2.12</t>
  </si>
  <si>
    <t>1.2.13</t>
  </si>
  <si>
    <t>1.2.14</t>
  </si>
  <si>
    <t>1.3.1</t>
  </si>
  <si>
    <t>1.3.2</t>
  </si>
  <si>
    <t>1.3.3</t>
  </si>
  <si>
    <t>1.3.4</t>
  </si>
  <si>
    <t>1.3.5</t>
  </si>
  <si>
    <t>1.3.6</t>
  </si>
  <si>
    <t>1.3.7</t>
  </si>
  <si>
    <t>2.1.1</t>
  </si>
  <si>
    <t>2.1.4</t>
  </si>
  <si>
    <t>2.2.1</t>
  </si>
  <si>
    <t>2.2.2</t>
  </si>
  <si>
    <t>2.2.3</t>
  </si>
  <si>
    <t>2.2.4</t>
  </si>
  <si>
    <t>2.2.5</t>
  </si>
  <si>
    <t>2.2.6</t>
  </si>
  <si>
    <t>2.3.1</t>
  </si>
  <si>
    <t>2.3.2</t>
  </si>
  <si>
    <t>2.4.1</t>
  </si>
  <si>
    <t>2.4.2</t>
  </si>
  <si>
    <t>2.4.3</t>
  </si>
  <si>
    <t>2.4.4</t>
  </si>
  <si>
    <t>2.5.1</t>
  </si>
  <si>
    <t>2.5.2</t>
  </si>
  <si>
    <t>2.5.3</t>
  </si>
  <si>
    <t>3.1.1</t>
  </si>
  <si>
    <t>3.1.2</t>
  </si>
  <si>
    <t>3.1.3</t>
  </si>
  <si>
    <t>3.2.1</t>
  </si>
  <si>
    <t>3.2.2</t>
  </si>
  <si>
    <t>3.2.3</t>
  </si>
  <si>
    <t>3.2.4</t>
  </si>
  <si>
    <t>2.1.3</t>
  </si>
  <si>
    <t>3.3.1</t>
  </si>
  <si>
    <t>3.3.2</t>
  </si>
  <si>
    <t>3.3.3</t>
  </si>
  <si>
    <t>3.3.4</t>
  </si>
  <si>
    <t>3.3.5</t>
  </si>
  <si>
    <t>3.4.1</t>
  </si>
  <si>
    <t>3.4.2</t>
  </si>
  <si>
    <t>3.4.3</t>
  </si>
  <si>
    <t>3.5.1</t>
  </si>
  <si>
    <t>3.5.2</t>
  </si>
  <si>
    <t>3.5.3</t>
  </si>
  <si>
    <t>3.5.4</t>
  </si>
  <si>
    <t>3.6.1</t>
  </si>
  <si>
    <t>3.6.2</t>
  </si>
  <si>
    <t>3.6.3</t>
  </si>
  <si>
    <t>4.1.1</t>
  </si>
  <si>
    <t>4.1.2</t>
  </si>
  <si>
    <t>4.1.3</t>
  </si>
  <si>
    <t>4.2.1</t>
  </si>
  <si>
    <t>4.2.2</t>
  </si>
  <si>
    <t>4.3.1</t>
  </si>
  <si>
    <t>4.3.2</t>
  </si>
  <si>
    <t>4.3.3</t>
  </si>
  <si>
    <t>4.4.1</t>
  </si>
  <si>
    <t>4.4.2</t>
  </si>
  <si>
    <t>4.4.3</t>
  </si>
  <si>
    <t>4.4.4</t>
  </si>
  <si>
    <t>Instructions for use of Malaria Surveillance Assessment Toolkit: Assessment Framework Tool</t>
  </si>
  <si>
    <t>Data collection and review method</t>
  </si>
  <si>
    <t xml:space="preserve">Chemoprevention:Intermittent preventative treatment of malaria in pregnant women (IPTp) </t>
  </si>
  <si>
    <t>Chemoprevention:Intermittent preventative treatment of malaria in infancy (IPTi)</t>
  </si>
  <si>
    <t>Chemoprevention:Seasonal malaria chemoprophylaxis (SMC)</t>
  </si>
  <si>
    <t>Vector control:Insecticide treated nets (ITNs) distributed through routine channels</t>
  </si>
  <si>
    <t>Vector control: Indoor residual spraying (IRS)</t>
  </si>
  <si>
    <t>Implemented (Yes/No)</t>
  </si>
  <si>
    <t xml:space="preserve">Note: Indicators 1.1.8 and 1.1.9 should only be selected in a burden reduction setting  if one of the other surveillance strategies listed is implemented in the country </t>
  </si>
  <si>
    <t>Note: Indicator 2.2.6 should only be selected in a burden reduction setting if drug resistance surveillance is  also implemented in the country</t>
  </si>
  <si>
    <t>Note: Indicators 3.1.2 and 3.1.3 should only be selected  if drug commodity tracking is  also implemented in the country</t>
  </si>
  <si>
    <t>Challenges to data use</t>
  </si>
  <si>
    <t xml:space="preserve">Top three reasons given during the assessment for challenges to data use, by level of the health system. 
</t>
  </si>
  <si>
    <t xml:space="preserve">Geography; Levels of the health system </t>
  </si>
  <si>
    <t>Both of the following criteria must be met
A recent evaluation (that is, in the last 10 years) showed that completeness of death registration was 90% or higher
&lt;10% of causes of death are classified as “Ill-defined and unknown causes of mortality” (as defined in Chapter XVIII of ICD-10)</t>
  </si>
  <si>
    <t>Case surveillance strategy</t>
  </si>
  <si>
    <t xml:space="preserve">Commodity tracking </t>
  </si>
  <si>
    <t>Vector control:Insecticide treated nets (ITNs) distributed through mass campaigns</t>
  </si>
  <si>
    <t>Chemoprevention:Mass drug administration (MDA)</t>
  </si>
  <si>
    <t>Reasons for observed data quality</t>
  </si>
  <si>
    <t>Difference between values</t>
  </si>
  <si>
    <t>Geography, Tool type</t>
  </si>
  <si>
    <t>Binary (Y/N)</t>
  </si>
  <si>
    <t>Binary (Y/N)/Proportion</t>
  </si>
  <si>
    <t xml:space="preserve"> Qualitative </t>
  </si>
  <si>
    <t>Binary (Y/N) for each process</t>
  </si>
  <si>
    <r>
      <rPr>
        <b/>
        <sz val="10"/>
        <color theme="1"/>
        <rFont val="Calibri"/>
        <family val="2"/>
        <scheme val="minor"/>
      </rPr>
      <t>Proportion of service-delivery points (total) that are included in the surveillance system (i.e. expected to report)</t>
    </r>
    <r>
      <rPr>
        <sz val="10"/>
        <color theme="1"/>
        <rFont val="Calibri"/>
        <family val="2"/>
        <scheme val="minor"/>
      </rPr>
      <t xml:space="preserve">
</t>
    </r>
    <r>
      <rPr>
        <b/>
        <sz val="10"/>
        <color theme="1"/>
        <rFont val="Calibri"/>
        <family val="2"/>
        <scheme val="minor"/>
      </rPr>
      <t>Numerator: N</t>
    </r>
    <r>
      <rPr>
        <sz val="10"/>
        <color theme="1"/>
        <rFont val="Calibri"/>
        <family val="2"/>
        <scheme val="minor"/>
      </rPr>
      <t>umber of points of care included in the surveillance system OR number of points of care that have EVER reported</t>
    </r>
    <r>
      <rPr>
        <b/>
        <sz val="10"/>
        <color theme="1"/>
        <rFont val="Calibri"/>
        <family val="2"/>
        <scheme val="minor"/>
      </rPr>
      <t xml:space="preserve">
Denominator: T</t>
    </r>
    <r>
      <rPr>
        <sz val="10"/>
        <color theme="1"/>
        <rFont val="Calibri"/>
        <family val="2"/>
        <scheme val="minor"/>
      </rPr>
      <t>otal number of health facilities in the country (from the Master Facility List,  government records, or other sources)</t>
    </r>
  </si>
  <si>
    <r>
      <rPr>
        <b/>
        <sz val="10"/>
        <color theme="1"/>
        <rFont val="Calibri"/>
        <family val="2"/>
        <scheme val="minor"/>
      </rPr>
      <t>Proportion of cases that sought care within 48 hours of symptom onset, or as per guidelines</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confirmed cases that sought care within 48 hours of symptom onset
</t>
    </r>
    <r>
      <rPr>
        <b/>
        <sz val="10"/>
        <color theme="1"/>
        <rFont val="Calibri"/>
        <family val="2"/>
        <scheme val="minor"/>
      </rPr>
      <t>Denominator:</t>
    </r>
    <r>
      <rPr>
        <sz val="10"/>
        <color theme="1"/>
        <rFont val="Calibri"/>
        <family val="2"/>
        <scheme val="minor"/>
      </rPr>
      <t xml:space="preserve"> Number of confirmed cases</t>
    </r>
  </si>
  <si>
    <r>
      <rPr>
        <b/>
        <sz val="10"/>
        <rFont val="Calibri"/>
        <family val="2"/>
        <scheme val="minor"/>
      </rPr>
      <t>Proportion of confirmed cases with a case investigation report</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confirmed cases with a case investigation report in a specified time period
</t>
    </r>
    <r>
      <rPr>
        <b/>
        <sz val="10"/>
        <rFont val="Calibri"/>
        <family val="2"/>
        <scheme val="minor"/>
      </rPr>
      <t>Denominator:</t>
    </r>
    <r>
      <rPr>
        <sz val="10"/>
        <rFont val="Calibri"/>
        <family val="2"/>
        <scheme val="minor"/>
      </rPr>
      <t>Number of confirmed cases in the same specified time period</t>
    </r>
  </si>
  <si>
    <r>
      <rPr>
        <b/>
        <sz val="10"/>
        <color rgb="FF000000"/>
        <rFont val="Calibri"/>
        <family val="2"/>
      </rPr>
      <t>Proportion of case notification reports received &lt;24hr after detection, or as per guidelines</t>
    </r>
    <r>
      <rPr>
        <sz val="10"/>
        <color rgb="FF000000"/>
        <rFont val="Calibri"/>
        <family val="2"/>
      </rPr>
      <t xml:space="preserve">
</t>
    </r>
    <r>
      <rPr>
        <b/>
        <sz val="10"/>
        <color rgb="FF000000"/>
        <rFont val="Calibri"/>
        <family val="2"/>
      </rPr>
      <t>Numerator:</t>
    </r>
    <r>
      <rPr>
        <sz val="10"/>
        <color rgb="FF000000"/>
        <rFont val="Calibri"/>
        <family val="2"/>
      </rPr>
      <t xml:space="preserve"> Number of case notification reports received &lt;24hr after detection
</t>
    </r>
    <r>
      <rPr>
        <b/>
        <sz val="10"/>
        <color rgb="FF000000"/>
        <rFont val="Calibri"/>
        <family val="2"/>
      </rPr>
      <t xml:space="preserve">Denominator: </t>
    </r>
    <r>
      <rPr>
        <sz val="10"/>
        <color rgb="FF000000"/>
        <rFont val="Calibri"/>
        <family val="2"/>
      </rPr>
      <t>Number of case notification reports</t>
    </r>
  </si>
  <si>
    <r>
      <rPr>
        <b/>
        <sz val="10"/>
        <color rgb="FF000000"/>
        <rFont val="Calibri"/>
        <family val="2"/>
      </rPr>
      <t>Proportion of case investigation reports received &lt;3 days after detection, or as per guidelines</t>
    </r>
    <r>
      <rPr>
        <sz val="10"/>
        <color rgb="FF000000"/>
        <rFont val="Calibri"/>
        <family val="2"/>
      </rPr>
      <t xml:space="preserve">
</t>
    </r>
    <r>
      <rPr>
        <b/>
        <sz val="10"/>
        <color rgb="FF000000"/>
        <rFont val="Calibri"/>
        <family val="2"/>
      </rPr>
      <t>Numerator:</t>
    </r>
    <r>
      <rPr>
        <sz val="10"/>
        <color rgb="FF000000"/>
        <rFont val="Calibri"/>
        <family val="2"/>
      </rPr>
      <t xml:space="preserve"> Number of case investigation reports received &lt;24hr after detection
</t>
    </r>
    <r>
      <rPr>
        <b/>
        <sz val="10"/>
        <color rgb="FF000000"/>
        <rFont val="Calibri"/>
        <family val="2"/>
      </rPr>
      <t>Denominator:</t>
    </r>
    <r>
      <rPr>
        <sz val="10"/>
        <color rgb="FF000000"/>
        <rFont val="Calibri"/>
        <family val="2"/>
      </rPr>
      <t xml:space="preserve"> Number of case investigation reports</t>
    </r>
  </si>
  <si>
    <r>
      <rPr>
        <b/>
        <sz val="10"/>
        <color rgb="FF000000"/>
        <rFont val="Calibri"/>
        <family val="2"/>
      </rPr>
      <t>Proportion of foci investigation reports received &lt;7 days after detection, or as per guidelines</t>
    </r>
    <r>
      <rPr>
        <sz val="10"/>
        <color rgb="FF000000"/>
        <rFont val="Calibri"/>
        <family val="2"/>
      </rPr>
      <t xml:space="preserve">
</t>
    </r>
    <r>
      <rPr>
        <b/>
        <sz val="10"/>
        <color rgb="FF000000"/>
        <rFont val="Calibri"/>
        <family val="2"/>
      </rPr>
      <t>Numerator:</t>
    </r>
    <r>
      <rPr>
        <sz val="10"/>
        <color rgb="FF000000"/>
        <rFont val="Calibri"/>
        <family val="2"/>
      </rPr>
      <t xml:space="preserve"> Number of foci investigation reports received &lt;7 days after detection
</t>
    </r>
    <r>
      <rPr>
        <b/>
        <sz val="10"/>
        <color rgb="FF000000"/>
        <rFont val="Calibri"/>
        <family val="2"/>
      </rPr>
      <t xml:space="preserve">Denominator: </t>
    </r>
    <r>
      <rPr>
        <sz val="10"/>
        <color rgb="FF000000"/>
        <rFont val="Calibri"/>
        <family val="2"/>
      </rPr>
      <t>Number of foci investigation reports</t>
    </r>
  </si>
  <si>
    <r>
      <rPr>
        <b/>
        <sz val="10"/>
        <rFont val="Calibri"/>
        <family val="2"/>
      </rPr>
      <t>Proportion of monthly bulletins produced out of those expected in the previous 12 months</t>
    </r>
    <r>
      <rPr>
        <sz val="10"/>
        <rFont val="Calibri"/>
        <family val="2"/>
      </rPr>
      <t xml:space="preserve">
</t>
    </r>
    <r>
      <rPr>
        <b/>
        <sz val="10"/>
        <rFont val="Calibri"/>
        <family val="2"/>
      </rPr>
      <t>Numerator:</t>
    </r>
    <r>
      <rPr>
        <sz val="10"/>
        <rFont val="Calibri"/>
        <family val="2"/>
      </rPr>
      <t xml:space="preserve"> Number of bulletins or other analytical reports produced in the previous 12 months
</t>
    </r>
    <r>
      <rPr>
        <b/>
        <sz val="10"/>
        <rFont val="Calibri"/>
        <family val="2"/>
      </rPr>
      <t>Denominator:</t>
    </r>
    <r>
      <rPr>
        <sz val="10"/>
        <rFont val="Calibri"/>
        <family val="2"/>
      </rPr>
      <t xml:space="preserve"> 12 months 
If bulletin or other routine analytical reports of malaria surveillance data are produced by subnational levels (e.g. districts) record the average number of months each district produced these in the previous year. 
</t>
    </r>
    <r>
      <rPr>
        <b/>
        <sz val="10"/>
        <rFont val="Calibri"/>
        <family val="2"/>
      </rPr>
      <t xml:space="preserve">Proportion of weekly/monthly malaria epidemic monitoring graphs produced out of those expected in the previous 12 months
Numerator: </t>
    </r>
    <r>
      <rPr>
        <sz val="10"/>
        <rFont val="Calibri"/>
        <family val="2"/>
      </rPr>
      <t xml:space="preserve">Number of  malaria epidemic monitoring graphs produced in the previous 12 months
</t>
    </r>
    <r>
      <rPr>
        <b/>
        <sz val="10"/>
        <rFont val="Calibri"/>
        <family val="2"/>
      </rPr>
      <t xml:space="preserve">Denominator: </t>
    </r>
    <r>
      <rPr>
        <sz val="10"/>
        <rFont val="Calibri"/>
        <family val="2"/>
      </rPr>
      <t xml:space="preserve">52 weeks or 12 months
</t>
    </r>
    <r>
      <rPr>
        <i/>
        <sz val="10"/>
        <rFont val="Calibri"/>
        <family val="2"/>
      </rPr>
      <t xml:space="preserve">The denominators should be adjusted based on the expected frequency of reporting
</t>
    </r>
    <r>
      <rPr>
        <b/>
        <sz val="10"/>
        <rFont val="Calibri"/>
        <family val="2"/>
      </rPr>
      <t>An annual malaria surveillance report has been produced in the last 12 months
Question format:</t>
    </r>
    <r>
      <rPr>
        <sz val="10"/>
        <rFont val="Calibri"/>
        <family val="2"/>
      </rPr>
      <t xml:space="preserve"> Has an annual malaria surveillance report has been produced in the last 12 months?
</t>
    </r>
  </si>
  <si>
    <t>Proportion/Binary (Y/N)</t>
  </si>
  <si>
    <r>
      <rPr>
        <b/>
        <sz val="10"/>
        <rFont val="Calibri"/>
        <family val="2"/>
        <scheme val="minor"/>
      </rPr>
      <t>Proportion of subnational  level units that monitor malaria surveillance data quality targets (data accuracy, completeness, and timeliness) for their respective administrative area (country/region/district)</t>
    </r>
    <r>
      <rPr>
        <sz val="10"/>
        <rFont val="Calibri"/>
        <family val="2"/>
        <scheme val="minor"/>
      </rPr>
      <t xml:space="preserve">
</t>
    </r>
    <r>
      <rPr>
        <b/>
        <sz val="10"/>
        <rFont val="Calibri"/>
        <family val="2"/>
        <scheme val="minor"/>
      </rPr>
      <t>Numerator:</t>
    </r>
    <r>
      <rPr>
        <sz val="10"/>
        <rFont val="Calibri"/>
        <family val="2"/>
        <scheme val="minor"/>
      </rPr>
      <t xml:space="preserve"> Number of subnational level areas that monitor malaria surveillance data quality targets
</t>
    </r>
    <r>
      <rPr>
        <b/>
        <sz val="10"/>
        <rFont val="Calibri"/>
        <family val="2"/>
        <scheme val="minor"/>
      </rPr>
      <t>Denominator:</t>
    </r>
    <r>
      <rPr>
        <sz val="10"/>
        <rFont val="Calibri"/>
        <family val="2"/>
        <scheme val="minor"/>
      </rPr>
      <t xml:space="preserve"> Number of subnational level areas assessed</t>
    </r>
  </si>
  <si>
    <r>
      <rPr>
        <b/>
        <sz val="10"/>
        <rFont val="Calibri"/>
        <family val="2"/>
        <scheme val="minor"/>
      </rPr>
      <t>Average score (based on a Likert scale of 1 (“strongly disagree”) to 5 (“strongly agree”)) of respondents perception that the organization promotes a culture of information*</t>
    </r>
    <r>
      <rPr>
        <sz val="10"/>
        <rFont val="Calibri"/>
        <family val="2"/>
        <scheme val="minor"/>
      </rPr>
      <t xml:space="preserve">
</t>
    </r>
    <r>
      <rPr>
        <b/>
        <sz val="10"/>
        <rFont val="Calibri"/>
        <family val="2"/>
        <scheme val="minor"/>
      </rPr>
      <t>Numerator:</t>
    </r>
    <r>
      <rPr>
        <sz val="10"/>
        <rFont val="Calibri"/>
        <family val="2"/>
        <scheme val="minor"/>
      </rPr>
      <t xml:space="preserve"> Sum of average Likert scores from respondents for each of the 5 criteria 
</t>
    </r>
    <r>
      <rPr>
        <b/>
        <sz val="10"/>
        <rFont val="Calibri"/>
        <family val="2"/>
        <scheme val="minor"/>
      </rPr>
      <t xml:space="preserve">Denominator: </t>
    </r>
    <r>
      <rPr>
        <sz val="10"/>
        <rFont val="Calibri"/>
        <family val="2"/>
        <scheme val="minor"/>
      </rPr>
      <t xml:space="preserve">3 criteria x 5 possible points 
*where the promotion of information culture is defined by the following criteria, measured by the results of a self-assessment composed of Likert questions for each criteria. The {MoH/HI/NMP/ other governance or organization}:
1. advocates for use of information at all levels of the health system
2. promotes feedback to and from surveillance staff
3. empowers surveillance staff to ask questions, learn, and improve
</t>
    </r>
  </si>
  <si>
    <r>
      <rPr>
        <b/>
        <sz val="10"/>
        <rFont val="Calibri"/>
        <family val="2"/>
        <scheme val="minor"/>
      </rPr>
      <t>Proportion of subnational level areas with surveillance supervision documentation* available</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subnational level areas with documents related to supervision 
</t>
    </r>
    <r>
      <rPr>
        <b/>
        <sz val="10"/>
        <rFont val="Calibri"/>
        <family val="2"/>
        <scheme val="minor"/>
      </rPr>
      <t xml:space="preserve">Denominator: </t>
    </r>
    <r>
      <rPr>
        <sz val="10"/>
        <rFont val="Calibri"/>
        <family val="2"/>
        <scheme val="minor"/>
      </rPr>
      <t xml:space="preserve">Total # of subnational level areas assessed 
</t>
    </r>
    <r>
      <rPr>
        <i/>
        <sz val="10"/>
        <rFont val="Calibri"/>
        <family val="2"/>
        <scheme val="minor"/>
      </rPr>
      <t xml:space="preserve">In the desk review, calculate the proportion of criteria below at the national level </t>
    </r>
    <r>
      <rPr>
        <sz val="10"/>
        <rFont val="Calibri"/>
        <family val="2"/>
        <scheme val="minor"/>
      </rPr>
      <t xml:space="preserve">
*surveillance supervision documents should include documentations of visits that have occured, supervisory guidelines and any checklists used for visits, as well as an up-to-date schedule for surveillance supervision visits
</t>
    </r>
  </si>
  <si>
    <r>
      <rPr>
        <b/>
        <sz val="10"/>
        <rFont val="Calibri"/>
        <family val="2"/>
        <scheme val="minor"/>
      </rPr>
      <t xml:space="preserve">Number of times a malaria surveillance supervisor visited the service-delivery point in the previous 12 months </t>
    </r>
    <r>
      <rPr>
        <sz val="10"/>
        <rFont val="Calibri"/>
        <family val="2"/>
        <scheme val="minor"/>
      </rPr>
      <t xml:space="preserve">
</t>
    </r>
    <r>
      <rPr>
        <b/>
        <sz val="10"/>
        <rFont val="Calibri"/>
        <family val="2"/>
        <scheme val="minor"/>
      </rPr>
      <t>Question format:</t>
    </r>
    <r>
      <rPr>
        <sz val="10"/>
        <rFont val="Calibri"/>
        <family val="2"/>
        <scheme val="minor"/>
      </rPr>
      <t xml:space="preserve"> How many surveillance supervision visits occurred in the past 12 months? 
</t>
    </r>
    <r>
      <rPr>
        <i/>
        <sz val="10"/>
        <rFont val="Calibri"/>
        <family val="2"/>
        <scheme val="minor"/>
      </rPr>
      <t>If applicable, verify by requesting to see copies of the reports from supervisory visit in which commonly agreed action points are listed</t>
    </r>
  </si>
  <si>
    <r>
      <rPr>
        <b/>
        <sz val="10"/>
        <rFont val="Calibri"/>
        <family val="2"/>
        <scheme val="minor"/>
      </rPr>
      <t>Proportion of surveillance staff surveyed (respondents) who have received surveillance training in the past three years</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respondents who have received surveillance training
</t>
    </r>
    <r>
      <rPr>
        <b/>
        <sz val="10"/>
        <rFont val="Calibri"/>
        <family val="2"/>
        <scheme val="minor"/>
      </rPr>
      <t xml:space="preserve">Denominator: </t>
    </r>
    <r>
      <rPr>
        <sz val="10"/>
        <rFont val="Calibri"/>
        <family val="2"/>
        <scheme val="minor"/>
      </rPr>
      <t xml:space="preserve">Total number of respondents who are responsible for malaria surveillance tasks
</t>
    </r>
    <r>
      <rPr>
        <i/>
        <sz val="10"/>
        <rFont val="Calibri"/>
        <family val="2"/>
        <scheme val="minor"/>
      </rPr>
      <t xml:space="preserve">
If only desk-level data collection is conducted, calculate this based on training records or other documentation of surveillance staff training. Detail the methods and data sources used for this approximation. In elimination settings training should be conducted on case notification, investigation and classification routinely. All three should be assessed for the public and the private sector.</t>
    </r>
    <r>
      <rPr>
        <sz val="10"/>
        <rFont val="Calibri"/>
        <family val="2"/>
        <scheme val="minor"/>
      </rPr>
      <t xml:space="preserve">
</t>
    </r>
  </si>
  <si>
    <r>
      <rPr>
        <b/>
        <sz val="10"/>
        <rFont val="Calibri"/>
        <family val="2"/>
        <scheme val="minor"/>
      </rPr>
      <t>Proportion of service-delivery points with a job aid(s) (a sign, worksheet or other object with a brief summary of surveillance processes</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service-delivery points with a job aid
</t>
    </r>
    <r>
      <rPr>
        <b/>
        <sz val="10"/>
        <rFont val="Calibri"/>
        <family val="2"/>
        <scheme val="minor"/>
      </rPr>
      <t xml:space="preserve">Denominator: </t>
    </r>
    <r>
      <rPr>
        <sz val="10"/>
        <rFont val="Calibri"/>
        <family val="2"/>
        <scheme val="minor"/>
      </rPr>
      <t xml:space="preserve">Number of service-delivery points assessed 
</t>
    </r>
  </si>
  <si>
    <r>
      <rPr>
        <b/>
        <sz val="10"/>
        <color theme="1"/>
        <rFont val="Calibri"/>
        <family val="2"/>
        <scheme val="minor"/>
      </rPr>
      <t>Proportion of service-delivery points that experienced stock-outs of ACTs and/or other front-line treatments  in the previous 6 months</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service-delivery points that experienced stock-outs of any malaria treatments in the previous 6 months
</t>
    </r>
    <r>
      <rPr>
        <b/>
        <sz val="10"/>
        <color theme="1"/>
        <rFont val="Calibri"/>
        <family val="2"/>
        <scheme val="minor"/>
      </rPr>
      <t>Denominator:</t>
    </r>
    <r>
      <rPr>
        <sz val="10"/>
        <color theme="1"/>
        <rFont val="Calibri"/>
        <family val="2"/>
        <scheme val="minor"/>
      </rPr>
      <t xml:space="preserve"> Total number of service-delivery points surveyed 
</t>
    </r>
  </si>
  <si>
    <r>
      <rPr>
        <b/>
        <sz val="10"/>
        <rFont val="Calibri"/>
        <family val="2"/>
        <scheme val="minor"/>
      </rPr>
      <t>Proportion of service-delivery points that have the correct, nationally standardized recording forms/tool(s)</t>
    </r>
    <r>
      <rPr>
        <sz val="10"/>
        <rFont val="Calibri"/>
        <family val="2"/>
        <scheme val="minor"/>
      </rPr>
      <t xml:space="preserve">
</t>
    </r>
    <r>
      <rPr>
        <b/>
        <sz val="10"/>
        <rFont val="Calibri"/>
        <family val="2"/>
        <scheme val="minor"/>
      </rPr>
      <t>Numerator</t>
    </r>
    <r>
      <rPr>
        <sz val="10"/>
        <rFont val="Calibri"/>
        <family val="2"/>
        <scheme val="minor"/>
      </rPr>
      <t xml:space="preserve">: Number of service-delivery points with the standard recording forms/tool(s)
</t>
    </r>
    <r>
      <rPr>
        <b/>
        <sz val="10"/>
        <rFont val="Calibri"/>
        <family val="2"/>
        <scheme val="minor"/>
      </rPr>
      <t xml:space="preserve">Denominator: </t>
    </r>
    <r>
      <rPr>
        <sz val="10"/>
        <rFont val="Calibri"/>
        <family val="2"/>
        <scheme val="minor"/>
      </rPr>
      <t xml:space="preserve">Total service-delivery points surveyed
</t>
    </r>
    <r>
      <rPr>
        <i/>
        <sz val="10"/>
        <rFont val="Calibri"/>
        <family val="2"/>
        <scheme val="minor"/>
      </rPr>
      <t>If only desk level data collection is conducted, determine if all facilities should have  standard tools based on whether private and public use standardised forms, the year where new forms came into use and whether there are parts of the country still using old forms</t>
    </r>
  </si>
  <si>
    <r>
      <rPr>
        <b/>
        <sz val="10"/>
        <rFont val="Calibri"/>
        <family val="2"/>
        <scheme val="minor"/>
      </rPr>
      <t>Proportion of service-delivery points that have the correct, nationally standardized reporting tool(s)</t>
    </r>
    <r>
      <rPr>
        <sz val="10"/>
        <rFont val="Calibri"/>
        <family val="2"/>
        <scheme val="minor"/>
      </rPr>
      <t xml:space="preserve">
</t>
    </r>
    <r>
      <rPr>
        <b/>
        <sz val="10"/>
        <rFont val="Calibri"/>
        <family val="2"/>
        <scheme val="minor"/>
      </rPr>
      <t>Numerator</t>
    </r>
    <r>
      <rPr>
        <sz val="10"/>
        <rFont val="Calibri"/>
        <family val="2"/>
        <scheme val="minor"/>
      </rPr>
      <t xml:space="preserve">: Number of service-delivery points with the standard reporting tool(s)
</t>
    </r>
    <r>
      <rPr>
        <b/>
        <sz val="10"/>
        <rFont val="Calibri"/>
        <family val="2"/>
        <scheme val="minor"/>
      </rPr>
      <t xml:space="preserve">Denominator: </t>
    </r>
    <r>
      <rPr>
        <sz val="10"/>
        <rFont val="Calibri"/>
        <family val="2"/>
        <scheme val="minor"/>
      </rPr>
      <t xml:space="preserve">Total service-delivery points surveys
</t>
    </r>
    <r>
      <rPr>
        <i/>
        <sz val="10"/>
        <rFont val="Calibri"/>
        <family val="2"/>
        <scheme val="minor"/>
      </rPr>
      <t xml:space="preserve">If only desk level data collection is conducted, determine if all facilities should have  standard tools based on whether private and public use standardised forms, the year where new forms came into use and whether there are parts of the country still using old forms
</t>
    </r>
  </si>
  <si>
    <r>
      <rPr>
        <b/>
        <sz val="10"/>
        <rFont val="Calibri"/>
        <family val="2"/>
        <scheme val="minor"/>
      </rPr>
      <t>Average score (based on a Likert scale of 1 (“strongly disagree”) to 5 (“strongly agree”)) of respondents motivation levels to do good surveillance*</t>
    </r>
    <r>
      <rPr>
        <sz val="10"/>
        <rFont val="Calibri"/>
        <family val="2"/>
        <scheme val="minor"/>
      </rPr>
      <t xml:space="preserve">
</t>
    </r>
    <r>
      <rPr>
        <b/>
        <sz val="10"/>
        <rFont val="Calibri"/>
        <family val="2"/>
        <scheme val="minor"/>
      </rPr>
      <t>Numerator:</t>
    </r>
    <r>
      <rPr>
        <sz val="10"/>
        <rFont val="Calibri"/>
        <family val="2"/>
        <scheme val="minor"/>
      </rPr>
      <t xml:space="preserve"> Sum of average Likert scores from respondents for each of the 5 criteria 
</t>
    </r>
    <r>
      <rPr>
        <b/>
        <sz val="10"/>
        <rFont val="Calibri"/>
        <family val="2"/>
        <scheme val="minor"/>
      </rPr>
      <t xml:space="preserve">Denominator: </t>
    </r>
    <r>
      <rPr>
        <sz val="10"/>
        <rFont val="Calibri"/>
        <family val="2"/>
        <scheme val="minor"/>
      </rPr>
      <t xml:space="preserve">5 criteria x 5 possible points 
*where surveillance staff motivation is defined by the following criteria, measured by the results of a self-assessment composed of Likert questions for each criteria. I feel that: 
1. action is taken based on data recorded/reported 
2. data recorded/ reported is useful to me or this health facility/unit
3. recording/ reporting is not tedious (i.e., repetitive or duplicative) or a burden/ distracts from other duties 
4. recording/ reporting data is the responsibility of health care providers 
5. surveillance staff are adequately paid and on time
</t>
    </r>
  </si>
  <si>
    <r>
      <rPr>
        <b/>
        <sz val="10"/>
        <rFont val="Calibri"/>
        <family val="2"/>
        <scheme val="minor"/>
      </rPr>
      <t xml:space="preserve">Number of outputs from analysis of malaria surveillance data expected (e.g. a country with a DHIS2 dashboard, monthly bulletins, and an annual report would have 3) </t>
    </r>
    <r>
      <rPr>
        <sz val="10"/>
        <rFont val="Calibri"/>
        <family val="2"/>
        <scheme val="minor"/>
      </rPr>
      <t xml:space="preserve">
</t>
    </r>
    <r>
      <rPr>
        <b/>
        <sz val="10"/>
        <rFont val="Calibri"/>
        <family val="2"/>
        <scheme val="minor"/>
      </rPr>
      <t xml:space="preserve">Question format: </t>
    </r>
    <r>
      <rPr>
        <sz val="10"/>
        <rFont val="Calibri"/>
        <family val="2"/>
        <scheme val="minor"/>
      </rPr>
      <t xml:space="preserve">What are the expected outputs from routine analysis of malaria surveillance data, such as dashboards, bulletins, and other reports?
</t>
    </r>
    <r>
      <rPr>
        <b/>
        <i/>
        <sz val="10"/>
        <rFont val="Calibri"/>
        <family val="2"/>
        <scheme val="minor"/>
      </rPr>
      <t>Note: the % of outputs actually produced is captured in Sub-objective 1.3 Data Use</t>
    </r>
    <r>
      <rPr>
        <i/>
        <sz val="10"/>
        <rFont val="Calibri"/>
        <family val="2"/>
        <scheme val="minor"/>
      </rPr>
      <t xml:space="preserve">
</t>
    </r>
  </si>
  <si>
    <r>
      <rPr>
        <b/>
        <sz val="10"/>
        <rFont val="Calibri"/>
        <family val="2"/>
        <scheme val="minor"/>
      </rPr>
      <t xml:space="preserve">Number of times in the previous 12 months that malaria surveillance data has been reviewed for quality </t>
    </r>
    <r>
      <rPr>
        <sz val="10"/>
        <rFont val="Calibri"/>
        <family val="2"/>
        <scheme val="minor"/>
      </rPr>
      <t xml:space="preserve">
</t>
    </r>
    <r>
      <rPr>
        <b/>
        <sz val="10"/>
        <rFont val="Calibri"/>
        <family val="2"/>
        <scheme val="minor"/>
      </rPr>
      <t xml:space="preserve">Question format: </t>
    </r>
    <r>
      <rPr>
        <sz val="10"/>
        <rFont val="Calibri"/>
        <family val="2"/>
        <scheme val="minor"/>
      </rPr>
      <t xml:space="preserve">(for service delivery and intermediary levels: How many times in the previous 12 months has compiled data been reviewed for quality before being submitted to the next level?
(for national level) How many times in the previous 12 months has compiled data in national databases been assessed for quality?
</t>
    </r>
  </si>
  <si>
    <r>
      <rPr>
        <b/>
        <sz val="10"/>
        <rFont val="Calibri"/>
        <family val="2"/>
        <scheme val="minor"/>
      </rPr>
      <t xml:space="preserve">Proportion of expected quality controls* included in electronic systems </t>
    </r>
    <r>
      <rPr>
        <sz val="10"/>
        <rFont val="Calibri"/>
        <family val="2"/>
        <scheme val="minor"/>
      </rPr>
      <t xml:space="preserve">
</t>
    </r>
    <r>
      <rPr>
        <b/>
        <sz val="10"/>
        <rFont val="Calibri"/>
        <family val="2"/>
        <scheme val="minor"/>
      </rPr>
      <t>Numerator:</t>
    </r>
    <r>
      <rPr>
        <sz val="10"/>
        <rFont val="Calibri"/>
        <family val="2"/>
        <scheme val="minor"/>
      </rPr>
      <t xml:space="preserve"> Number of expected quality controls active and properly functioning
</t>
    </r>
    <r>
      <rPr>
        <b/>
        <sz val="10"/>
        <rFont val="Calibri"/>
        <family val="2"/>
        <scheme val="minor"/>
      </rPr>
      <t xml:space="preserve">Denominator: </t>
    </r>
    <r>
      <rPr>
        <sz val="10"/>
        <rFont val="Calibri"/>
        <family val="2"/>
        <scheme val="minor"/>
      </rPr>
      <t xml:space="preserve">Total number of expected quality controls (3)
</t>
    </r>
    <r>
      <rPr>
        <i/>
        <sz val="10"/>
        <rFont val="Calibri"/>
        <family val="2"/>
        <scheme val="minor"/>
      </rPr>
      <t xml:space="preserve">
</t>
    </r>
    <r>
      <rPr>
        <sz val="10"/>
        <rFont val="Calibri"/>
        <family val="2"/>
        <scheme val="minor"/>
      </rPr>
      <t xml:space="preserve">* Expected quality controls include:
1 Automated or built in checks at data entry (e.g. data validation rules)
2 Data verification reports or audit trail
3 In elimination settings a mechanism or process to avoid duplicate entry of records (e.g. when there are multiple data points such as case detection at the facility followed by case investigation)
</t>
    </r>
  </si>
  <si>
    <r>
      <rPr>
        <b/>
        <sz val="10"/>
        <rFont val="Calibri"/>
        <family val="2"/>
        <scheme val="minor"/>
      </rPr>
      <t xml:space="preserve">Proportion of relevant data users (all staff involved in malaria program activities) who have access to malaria surveillance data </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surveillance staff at all levels of the health system who have access to malaria surveillance data
</t>
    </r>
    <r>
      <rPr>
        <b/>
        <sz val="10"/>
        <rFont val="Calibri"/>
        <family val="2"/>
        <scheme val="minor"/>
      </rPr>
      <t>Denominator:</t>
    </r>
    <r>
      <rPr>
        <sz val="10"/>
        <rFont val="Calibri"/>
        <family val="2"/>
        <scheme val="minor"/>
      </rPr>
      <t xml:space="preserve"> Number of surveillance staff at all levels of the health system
</t>
    </r>
    <r>
      <rPr>
        <i/>
        <sz val="10"/>
        <rFont val="Calibri"/>
        <family val="2"/>
        <scheme val="minor"/>
      </rPr>
      <t xml:space="preserve">For the desk review, replace the numerator with the number of levels of the health system that have access and the denominator with the number of levels.
 Access is defined here as an ability to view raw data or defined outputs such as a dashboard of core indicators from routine surveillance. The means of access will be different for different systems and should be identified and described in the Desk Review Template. For example, if DHIS2 is used, determine here if frontline surveillance staff have login in to DHIS2 or can request from manager to view data and/or dashboards. 
</t>
    </r>
  </si>
  <si>
    <r>
      <rPr>
        <b/>
        <sz val="10"/>
        <rFont val="Calibri"/>
        <family val="2"/>
        <scheme val="minor"/>
      </rPr>
      <t>Average frequency data is accessed (e.g. data is requested or login to the database), by level of the health system or user</t>
    </r>
    <r>
      <rPr>
        <sz val="10"/>
        <rFont val="Calibri"/>
        <family val="2"/>
        <scheme val="minor"/>
      </rPr>
      <t xml:space="preserve">
</t>
    </r>
    <r>
      <rPr>
        <b/>
        <sz val="10"/>
        <rFont val="Calibri"/>
        <family val="2"/>
        <scheme val="minor"/>
      </rPr>
      <t>Calculation:</t>
    </r>
    <r>
      <rPr>
        <sz val="10"/>
        <rFont val="Calibri"/>
        <family val="2"/>
        <scheme val="minor"/>
      </rPr>
      <t xml:space="preserve"> Average number of log-ins per month for the previous 12 months  OR
Average number of times data is otherwise accessed  per month for the previous 12 months
</t>
    </r>
  </si>
  <si>
    <r>
      <rPr>
        <b/>
        <sz val="10"/>
        <rFont val="Calibri"/>
        <family val="2"/>
        <scheme val="minor"/>
      </rPr>
      <t>Proportion of surveillance staff surveyed (respondents) who accurately name at least three</t>
    </r>
    <r>
      <rPr>
        <sz val="10"/>
        <rFont val="Calibri"/>
        <family val="2"/>
        <scheme val="minor"/>
      </rPr>
      <t xml:space="preserve"> </t>
    </r>
    <r>
      <rPr>
        <b/>
        <sz val="10"/>
        <rFont val="Calibri"/>
        <family val="2"/>
        <scheme val="minor"/>
      </rPr>
      <t>reasons for collecting or using malaria surveillance data
Numerator:</t>
    </r>
    <r>
      <rPr>
        <sz val="10"/>
        <rFont val="Calibri"/>
        <family val="2"/>
        <scheme val="minor"/>
      </rPr>
      <t xml:space="preserve"> Number of respondents with at least three correct responses/ three correct reasons provided 
</t>
    </r>
    <r>
      <rPr>
        <b/>
        <sz val="10"/>
        <rFont val="Calibri"/>
        <family val="2"/>
        <scheme val="minor"/>
      </rPr>
      <t>Denominator:</t>
    </r>
    <r>
      <rPr>
        <sz val="10"/>
        <rFont val="Calibri"/>
        <family val="2"/>
        <scheme val="minor"/>
      </rPr>
      <t xml:space="preserve"> Total number of respondents
</t>
    </r>
  </si>
  <si>
    <t>Malaria control strategies</t>
  </si>
  <si>
    <t>Select malaria control strategies implemented in the country  using the drop down in column B</t>
  </si>
  <si>
    <r>
      <rPr>
        <b/>
        <sz val="10"/>
        <color theme="1"/>
        <rFont val="Calibri"/>
        <family val="2"/>
        <scheme val="minor"/>
      </rPr>
      <t>Proportion of  malaria control strategies implemented in country which are reporting malaria indicators in to some information system  (either in the system in which malaria cases are tracked (i.e. HMIS) or separate system in which relevant indicators are tracked)</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Number of malaria control strategies reporting malaria indicators to the national level</t>
    </r>
    <r>
      <rPr>
        <b/>
        <sz val="10"/>
        <color theme="1"/>
        <rFont val="Calibri"/>
        <family val="2"/>
        <scheme val="minor"/>
      </rPr>
      <t xml:space="preserve">
Denominator: </t>
    </r>
    <r>
      <rPr>
        <sz val="10"/>
        <color theme="1"/>
        <rFont val="Calibri"/>
        <family val="2"/>
        <scheme val="minor"/>
      </rPr>
      <t>Total number of  malaria control strategies*
*</t>
    </r>
    <r>
      <rPr>
        <i/>
        <sz val="10"/>
        <color theme="1"/>
        <rFont val="Calibri"/>
        <family val="2"/>
        <scheme val="minor"/>
      </rPr>
      <t>Malaria control strategies are defined in the Reference Manual and the malaria control strategies tab of the assessment framework tool.  If these strategies are implemented in the country it is important that malaria relevant data are reported through routine surveillance.</t>
    </r>
  </si>
  <si>
    <r>
      <rPr>
        <b/>
        <sz val="10"/>
        <color theme="1"/>
        <rFont val="Calibri"/>
        <family val="2"/>
        <scheme val="minor"/>
      </rPr>
      <t>Proportion of surveillance equipment available of surveillance equipment required</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equipment available
</t>
    </r>
    <r>
      <rPr>
        <b/>
        <sz val="10"/>
        <color theme="1"/>
        <rFont val="Calibri"/>
        <family val="2"/>
        <scheme val="minor"/>
      </rPr>
      <t>Denominator:</t>
    </r>
    <r>
      <rPr>
        <sz val="10"/>
        <color theme="1"/>
        <rFont val="Calibri"/>
        <family val="2"/>
        <scheme val="minor"/>
      </rPr>
      <t xml:space="preserve"> Total number of equipment required (estimated by NSP, HMIS budget, or other strategic planning documents)
</t>
    </r>
    <r>
      <rPr>
        <i/>
        <sz val="10"/>
        <color theme="1"/>
        <rFont val="Calibri"/>
        <family val="2"/>
        <scheme val="minor"/>
      </rPr>
      <t xml:space="preserve">
</t>
    </r>
  </si>
  <si>
    <r>
      <rPr>
        <b/>
        <sz val="10"/>
        <color theme="1"/>
        <rFont val="Calibri"/>
        <family val="2"/>
        <scheme val="minor"/>
      </rPr>
      <t xml:space="preserve">Proportion of service-delivery points that experienced infrastructure failure (of internet connectivity, cellular service/data, and/or electricity as applicable) within the last 30 days 
Where possible, disaggregate by tool type
Numerator: </t>
    </r>
    <r>
      <rPr>
        <sz val="10"/>
        <color theme="1"/>
        <rFont val="Calibri"/>
        <family val="2"/>
        <scheme val="minor"/>
      </rPr>
      <t xml:space="preserve">Number of  service-delivery points that experienced infrastructure failure within the last 30 days 
</t>
    </r>
    <r>
      <rPr>
        <b/>
        <sz val="10"/>
        <color theme="1"/>
        <rFont val="Calibri"/>
        <family val="2"/>
        <scheme val="minor"/>
      </rPr>
      <t xml:space="preserve">Denominator: </t>
    </r>
    <r>
      <rPr>
        <sz val="10"/>
        <color theme="1"/>
        <rFont val="Calibri"/>
        <family val="2"/>
        <scheme val="minor"/>
      </rPr>
      <t xml:space="preserve">Total number of service-delivery points surveyed 
</t>
    </r>
  </si>
  <si>
    <r>
      <rPr>
        <b/>
        <sz val="10"/>
        <rFont val="Calibri"/>
        <family val="2"/>
        <scheme val="minor"/>
      </rPr>
      <t>Proportion of service-delivery points who are aware of, or have a documented procedure for allocation of surveillance infrastructure and equipment and how to troubleshoot resource availability (stockout of registers/forms, device malfunction, reprinting forms, data usage, etc.)</t>
    </r>
    <r>
      <rPr>
        <sz val="10"/>
        <rFont val="Calibri"/>
        <family val="2"/>
        <scheme val="minor"/>
      </rPr>
      <t xml:space="preserve">
</t>
    </r>
    <r>
      <rPr>
        <b/>
        <sz val="10"/>
        <rFont val="Calibri"/>
        <family val="2"/>
        <scheme val="minor"/>
      </rPr>
      <t>Numerator:</t>
    </r>
    <r>
      <rPr>
        <sz val="10"/>
        <rFont val="Calibri"/>
        <family val="2"/>
        <scheme val="minor"/>
      </rPr>
      <t xml:space="preserve"> Number of service-delivery points with documented resource allocation and troubleshooting procedures for malaria surveillance, or number of respondents who know resource allocation and troubleshooting procedures for malaria surveillance
</t>
    </r>
    <r>
      <rPr>
        <b/>
        <sz val="10"/>
        <rFont val="Calibri"/>
        <family val="2"/>
        <scheme val="minor"/>
      </rPr>
      <t xml:space="preserve">Denominator: </t>
    </r>
    <r>
      <rPr>
        <sz val="10"/>
        <rFont val="Calibri"/>
        <family val="2"/>
        <scheme val="minor"/>
      </rPr>
      <t xml:space="preserve">Total number of service-delivery points surveyed 
</t>
    </r>
  </si>
  <si>
    <r>
      <rPr>
        <b/>
        <sz val="10"/>
        <color theme="1"/>
        <rFont val="Calibri"/>
        <family val="2"/>
        <scheme val="minor"/>
      </rPr>
      <t>Proportion of malaria surveillance costs (including HR, equipment, maintenance, other technical support etc.) which is funded (by domestic and/or donor funding) in the current or previous NSP period</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Funds available for malaria surveillance
</t>
    </r>
    <r>
      <rPr>
        <b/>
        <sz val="10"/>
        <color theme="1"/>
        <rFont val="Calibri"/>
        <family val="2"/>
        <scheme val="minor"/>
      </rPr>
      <t xml:space="preserve">Denominator: </t>
    </r>
    <r>
      <rPr>
        <sz val="10"/>
        <color theme="1"/>
        <rFont val="Calibri"/>
        <family val="2"/>
        <scheme val="minor"/>
      </rPr>
      <t xml:space="preserve">Total estimated budget for malaria surveillance
</t>
    </r>
  </si>
  <si>
    <r>
      <rPr>
        <b/>
        <sz val="10"/>
        <color theme="1"/>
        <rFont val="Calibri"/>
        <family val="2"/>
        <scheme val="minor"/>
      </rPr>
      <t xml:space="preserve">Number (and names) of stakeholders involved in malaria surveillance </t>
    </r>
    <r>
      <rPr>
        <sz val="10"/>
        <color theme="1"/>
        <rFont val="Calibri"/>
        <family val="2"/>
        <scheme val="minor"/>
      </rPr>
      <t xml:space="preserve">
</t>
    </r>
    <r>
      <rPr>
        <i/>
        <sz val="10"/>
        <color theme="1"/>
        <rFont val="Calibri"/>
        <family val="2"/>
        <scheme val="minor"/>
      </rPr>
      <t xml:space="preserve">Use the Stakeholder Mapping Template in the Reference Manual to describe stakeholders, responsibilities, overlaps, and gaps
</t>
    </r>
  </si>
  <si>
    <r>
      <rPr>
        <b/>
        <sz val="10"/>
        <rFont val="Calibri"/>
        <family val="2"/>
        <scheme val="minor"/>
      </rPr>
      <t>Proportion of subnational level units with health management structures* that regularly review malaria surveillance data</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subnational level areas with health management structures
</t>
    </r>
    <r>
      <rPr>
        <b/>
        <sz val="10"/>
        <rFont val="Calibri"/>
        <family val="2"/>
        <scheme val="minor"/>
      </rPr>
      <t xml:space="preserve">Denominator: </t>
    </r>
    <r>
      <rPr>
        <sz val="10"/>
        <rFont val="Calibri"/>
        <family val="2"/>
        <scheme val="minor"/>
      </rPr>
      <t xml:space="preserve">Number of subnational level areas assessed
</t>
    </r>
    <r>
      <rPr>
        <i/>
        <sz val="10"/>
        <rFont val="Calibri"/>
        <family val="2"/>
        <scheme val="minor"/>
      </rPr>
      <t xml:space="preserve">In the desk review calculate the proportion of criteria below at the national level 
</t>
    </r>
    <r>
      <rPr>
        <sz val="10"/>
        <rFont val="Calibri"/>
        <family val="2"/>
        <scheme val="minor"/>
      </rPr>
      <t>*Where subnational management structures are in place 
-subnational work plan that includes malaria implementation activities
-a list of monitoring indicators for review of subnational implementation activities
-a list of indicators to monitor disease trends including malaria</t>
    </r>
  </si>
  <si>
    <r>
      <rPr>
        <b/>
        <sz val="10"/>
        <rFont val="Calibri"/>
        <family val="2"/>
        <scheme val="minor"/>
      </rPr>
      <t xml:space="preserve">Average score for criteria* to measure the quality of the previous supervision visit </t>
    </r>
    <r>
      <rPr>
        <sz val="10"/>
        <rFont val="Calibri"/>
        <family val="2"/>
        <scheme val="minor"/>
      </rPr>
      <t xml:space="preserve">
</t>
    </r>
    <r>
      <rPr>
        <b/>
        <sz val="10"/>
        <rFont val="Calibri"/>
        <family val="2"/>
        <scheme val="minor"/>
      </rPr>
      <t>Numerator</t>
    </r>
    <r>
      <rPr>
        <sz val="10"/>
        <rFont val="Calibri"/>
        <family val="2"/>
        <scheme val="minor"/>
      </rPr>
      <t xml:space="preserve">: Sum points received for each service-delivery point assessed that received supervision
</t>
    </r>
    <r>
      <rPr>
        <b/>
        <sz val="10"/>
        <rFont val="Calibri"/>
        <family val="2"/>
        <scheme val="minor"/>
      </rPr>
      <t>Denominator:</t>
    </r>
    <r>
      <rPr>
        <sz val="10"/>
        <rFont val="Calibri"/>
        <family val="2"/>
        <scheme val="minor"/>
      </rPr>
      <t xml:space="preserve"> 4 criteria x Number of service-delivery point assessed that received supervision
</t>
    </r>
    <r>
      <rPr>
        <i/>
        <sz val="10"/>
        <rFont val="Calibri"/>
        <family val="2"/>
        <scheme val="minor"/>
      </rPr>
      <t xml:space="preserve">
</t>
    </r>
    <r>
      <rPr>
        <sz val="10"/>
        <rFont val="Calibri"/>
        <family val="2"/>
        <scheme val="minor"/>
      </rPr>
      <t xml:space="preserve">*Where criteria are: 
- supervisor checked data quality (using a checklist or other outlined procedure)
- supervisor discussed your health facility’s performance based on data from malaria surveillance
- supervisor helped you to make a decision or to take corrective action based on the discussion
- supervisor sent a report/ written feedback on the past supervisory visit(s)?
</t>
    </r>
  </si>
  <si>
    <r>
      <rPr>
        <b/>
        <sz val="10"/>
        <rFont val="Calibri"/>
        <family val="2"/>
      </rPr>
      <t>Proportion of data review meetings (at each level of the health system) that occurred of those expected in the previous 12 months</t>
    </r>
    <r>
      <rPr>
        <sz val="10"/>
        <rFont val="Calibri"/>
        <family val="2"/>
      </rPr>
      <t xml:space="preserve">
e.g. Proportion of quarterly data review meetings that occurred in the previous 12 months 
</t>
    </r>
    <r>
      <rPr>
        <b/>
        <sz val="10"/>
        <rFont val="Calibri"/>
        <family val="2"/>
      </rPr>
      <t>Numerator:</t>
    </r>
    <r>
      <rPr>
        <sz val="10"/>
        <rFont val="Calibri"/>
        <family val="2"/>
      </rPr>
      <t xml:space="preserve"> Number of data review meetings held
</t>
    </r>
    <r>
      <rPr>
        <b/>
        <sz val="10"/>
        <rFont val="Calibri"/>
        <family val="2"/>
      </rPr>
      <t>Denominator</t>
    </r>
    <r>
      <rPr>
        <sz val="10"/>
        <rFont val="Calibri"/>
        <family val="2"/>
      </rPr>
      <t xml:space="preserve">: 4 quarters
</t>
    </r>
    <r>
      <rPr>
        <i/>
        <sz val="10"/>
        <rFont val="Calibri"/>
        <family val="2"/>
      </rPr>
      <t>If data review meetings are held at subnational levels (e.g. districts) record the number of meetings each district had in the previous year</t>
    </r>
    <r>
      <rPr>
        <sz val="10"/>
        <rFont val="Calibri"/>
        <family val="2"/>
      </rPr>
      <t xml:space="preserve">
</t>
    </r>
    <r>
      <rPr>
        <i/>
        <sz val="10"/>
        <rFont val="Calibri"/>
        <family val="2"/>
      </rPr>
      <t xml:space="preserve">Countries may have different review schedules and therefore the frequency of meetings should inform the denominator
</t>
    </r>
    <r>
      <rPr>
        <sz val="10"/>
        <rFont val="Calibri"/>
        <family val="2"/>
      </rPr>
      <t xml:space="preserve">
</t>
    </r>
  </si>
  <si>
    <r>
      <rPr>
        <b/>
        <sz val="10"/>
        <rFont val="Calibri"/>
        <family val="2"/>
      </rPr>
      <t>Data were used to inform decisions or action to improve the surveillance system* within the last 12 months</t>
    </r>
    <r>
      <rPr>
        <sz val="10"/>
        <rFont val="Calibri"/>
        <family val="2"/>
      </rPr>
      <t xml:space="preserve">
</t>
    </r>
    <r>
      <rPr>
        <b/>
        <sz val="10"/>
        <rFont val="Calibri"/>
        <family val="2"/>
      </rPr>
      <t xml:space="preserve">Question format: </t>
    </r>
    <r>
      <rPr>
        <sz val="10"/>
        <rFont val="Calibri"/>
        <family val="2"/>
      </rPr>
      <t xml:space="preserve">What decisions or actions have you or someone at this facility/district/region taken based on  surveillance data in the previous 12 months?
*decisions made or referred to upper management for action and/or follow-up may be: 
 -improvements in feedback and supervision
- improvements in data quality; completeness, timeliness and consistency
- initiated trainings or other surveillance staff capacity development including analysis and data use
</t>
    </r>
  </si>
  <si>
    <r>
      <rPr>
        <b/>
        <sz val="10"/>
        <rFont val="Calibri"/>
        <family val="2"/>
      </rPr>
      <t xml:space="preserve">Data was used to inform strategic, policy and operational processes* within the last 36 months </t>
    </r>
    <r>
      <rPr>
        <sz val="10"/>
        <rFont val="Calibri"/>
        <family val="2"/>
      </rPr>
      <t xml:space="preserve">
</t>
    </r>
    <r>
      <rPr>
        <b/>
        <sz val="10"/>
        <rFont val="Calibri"/>
        <family val="2"/>
      </rPr>
      <t xml:space="preserve">Question format: </t>
    </r>
    <r>
      <rPr>
        <sz val="10"/>
        <rFont val="Calibri"/>
        <family val="2"/>
      </rPr>
      <t xml:space="preserve">What decision-making or strategic and policy processes have been informed by surveillance data in the previous 36 months?
*strategic planning process may be: 
-develop or revise NSP or other health program strategy or work plan
-develop subnational operational plans
-stratification for targeting and prioritising of interventions
-develop or revise a malaria policy 
-advocate for a policy or programme
- monitor program performance/progress towards achieving national targets
-allocation or reallocation resources from national level
- distribution of commodities
-subnational or national elimination certification (elimination settings)
-routine review of data from proactive and reactive case detection to determine whether the approach is efficient and useful (elimination settings)
</t>
    </r>
    <r>
      <rPr>
        <i/>
        <sz val="10"/>
        <rFont val="Calibri"/>
        <family val="2"/>
      </rPr>
      <t xml:space="preserve">
</t>
    </r>
  </si>
  <si>
    <r>
      <rPr>
        <b/>
        <sz val="10"/>
        <color theme="1"/>
        <rFont val="Calibri"/>
        <family val="2"/>
        <scheme val="minor"/>
      </rPr>
      <t xml:space="preserve">Proportion of expected reports that were received in a specified time period </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reports received in a specified time period
</t>
    </r>
    <r>
      <rPr>
        <b/>
        <sz val="10"/>
        <color theme="1"/>
        <rFont val="Calibri"/>
        <family val="2"/>
        <scheme val="minor"/>
      </rPr>
      <t xml:space="preserve">Denominator: </t>
    </r>
    <r>
      <rPr>
        <sz val="10"/>
        <color theme="1"/>
        <rFont val="Calibri"/>
        <family val="2"/>
        <scheme val="minor"/>
      </rPr>
      <t xml:space="preserve">Number of reports expected in the same specified time period
</t>
    </r>
    <r>
      <rPr>
        <i/>
        <sz val="10"/>
        <color theme="1"/>
        <rFont val="Calibri"/>
        <family val="2"/>
        <scheme val="minor"/>
      </rPr>
      <t xml:space="preserve">
This indicator should be assessed on aggregate reports received at the national level</t>
    </r>
  </si>
  <si>
    <r>
      <rPr>
        <b/>
        <sz val="10"/>
        <color theme="1"/>
        <rFont val="Calibri"/>
        <family val="2"/>
        <scheme val="minor"/>
      </rPr>
      <t xml:space="preserve">Proportion of expected reports received by the reporting due date in a specified time period </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reports received in a specified time period by the reporting due date
</t>
    </r>
    <r>
      <rPr>
        <b/>
        <sz val="10"/>
        <color theme="1"/>
        <rFont val="Calibri"/>
        <family val="2"/>
        <scheme val="minor"/>
      </rPr>
      <t xml:space="preserve">Denominator: </t>
    </r>
    <r>
      <rPr>
        <sz val="10"/>
        <color theme="1"/>
        <rFont val="Calibri"/>
        <family val="2"/>
        <scheme val="minor"/>
      </rPr>
      <t xml:space="preserve">Number of reports expected in the same specified time period
</t>
    </r>
    <r>
      <rPr>
        <i/>
        <sz val="10"/>
        <color theme="1"/>
        <rFont val="Calibri"/>
        <family val="2"/>
        <scheme val="minor"/>
      </rPr>
      <t xml:space="preserve">
This indicator should be assessed on aggregate reports received at the national level</t>
    </r>
    <r>
      <rPr>
        <sz val="10"/>
        <color theme="1"/>
        <rFont val="Calibri"/>
        <family val="2"/>
        <scheme val="minor"/>
      </rPr>
      <t xml:space="preserve">
</t>
    </r>
  </si>
  <si>
    <r>
      <rPr>
        <b/>
        <sz val="10"/>
        <color theme="1"/>
        <rFont val="Calibri"/>
        <family val="2"/>
        <scheme val="minor"/>
      </rPr>
      <t>Proportion of reports received in a specified time period where all core variables are complete</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reports received in a specified time period with ALL core variables completed
</t>
    </r>
    <r>
      <rPr>
        <b/>
        <sz val="10"/>
        <color theme="1"/>
        <rFont val="Calibri"/>
        <family val="2"/>
        <scheme val="minor"/>
      </rPr>
      <t>Denominator</t>
    </r>
    <r>
      <rPr>
        <sz val="10"/>
        <color theme="1"/>
        <rFont val="Calibri"/>
        <family val="2"/>
        <scheme val="minor"/>
      </rPr>
      <t xml:space="preserve">: Number of reports received in a specified time period. 
</t>
    </r>
    <r>
      <rPr>
        <i/>
        <sz val="10"/>
        <color theme="1"/>
        <rFont val="Calibri"/>
        <family val="2"/>
        <scheme val="minor"/>
      </rPr>
      <t xml:space="preserve">
Core variables are defined in the Reference Manual. For elimination settings case, case investigation and foci reports should all be assessed </t>
    </r>
  </si>
  <si>
    <r>
      <rPr>
        <b/>
        <sz val="10"/>
        <color theme="1"/>
        <rFont val="Calibri"/>
        <family val="2"/>
        <scheme val="minor"/>
      </rPr>
      <t xml:space="preserve">Proportion of reports where all consistency checks between core variables are passed   </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reports received in a specified time period where ALL consistency checks between core variables are passed
</t>
    </r>
    <r>
      <rPr>
        <b/>
        <sz val="10"/>
        <color theme="1"/>
        <rFont val="Calibri"/>
        <family val="2"/>
        <scheme val="minor"/>
      </rPr>
      <t xml:space="preserve">Denominator: </t>
    </r>
    <r>
      <rPr>
        <sz val="10"/>
        <color theme="1"/>
        <rFont val="Calibri"/>
        <family val="2"/>
        <scheme val="minor"/>
      </rPr>
      <t xml:space="preserve">Number of reports received in a/ the same specified time period
</t>
    </r>
    <r>
      <rPr>
        <i/>
        <sz val="10"/>
        <color theme="1"/>
        <rFont val="Calibri"/>
        <family val="2"/>
        <scheme val="minor"/>
      </rPr>
      <t xml:space="preserve">
Suggested consistency checks between core variables are defined in the Reference Manual</t>
    </r>
    <r>
      <rPr>
        <sz val="10"/>
        <color rgb="FFFF0000"/>
        <rFont val="Calibri"/>
        <family val="2"/>
        <scheme val="minor"/>
      </rPr>
      <t xml:space="preserve">
</t>
    </r>
    <r>
      <rPr>
        <sz val="10"/>
        <color theme="1"/>
        <rFont val="Calibri"/>
        <family val="2"/>
        <scheme val="minor"/>
      </rPr>
      <t xml:space="preserve">
</t>
    </r>
  </si>
  <si>
    <r>
      <rPr>
        <b/>
        <sz val="10"/>
        <rFont val="Calibri"/>
        <family val="2"/>
        <scheme val="minor"/>
      </rPr>
      <t>Proportion of core indicator trends that are consistent for a specified time period (suggested minimum is 3 years)</t>
    </r>
    <r>
      <rPr>
        <sz val="10"/>
        <rFont val="Calibri"/>
        <family val="2"/>
        <scheme val="minor"/>
      </rPr>
      <t xml:space="preserve">
</t>
    </r>
    <r>
      <rPr>
        <b/>
        <sz val="10"/>
        <rFont val="Calibri"/>
        <family val="2"/>
        <scheme val="minor"/>
      </rPr>
      <t xml:space="preserve">Analysis approach: </t>
    </r>
    <r>
      <rPr>
        <sz val="10"/>
        <rFont val="Calibri"/>
        <family val="2"/>
        <scheme val="minor"/>
      </rPr>
      <t xml:space="preserve">trends over time and outlier analysis
</t>
    </r>
    <r>
      <rPr>
        <i/>
        <sz val="10"/>
        <rFont val="Calibri"/>
        <family val="2"/>
        <scheme val="minor"/>
      </rPr>
      <t xml:space="preserve">
Suggested indicators, which are calculated from core variables, are defined in the Reference Manual. Consistency (i.e. what is considered consistent) should be defined by the country. This may include investigation of outliers</t>
    </r>
    <r>
      <rPr>
        <i/>
        <sz val="10"/>
        <color rgb="FFFF0000"/>
        <rFont val="Calibri"/>
        <family val="2"/>
        <scheme val="minor"/>
      </rPr>
      <t xml:space="preserve"> </t>
    </r>
  </si>
  <si>
    <r>
      <rPr>
        <b/>
        <sz val="10"/>
        <color theme="1"/>
        <rFont val="Calibri"/>
        <family val="2"/>
        <scheme val="minor"/>
      </rPr>
      <t xml:space="preserve">Proportion of all core variable values that match between two reporting systems in the same specified time period </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reports received in a specified time period from two different data sources where 100% of core variables match
</t>
    </r>
    <r>
      <rPr>
        <b/>
        <sz val="10"/>
        <color theme="1"/>
        <rFont val="Calibri"/>
        <family val="2"/>
        <scheme val="minor"/>
      </rPr>
      <t>Denominator:</t>
    </r>
    <r>
      <rPr>
        <sz val="10"/>
        <color theme="1"/>
        <rFont val="Calibri"/>
        <family val="2"/>
        <scheme val="minor"/>
      </rPr>
      <t xml:space="preserve"> Number of paired reports from the two data sources
</t>
    </r>
    <r>
      <rPr>
        <i/>
        <sz val="10"/>
        <color theme="1"/>
        <rFont val="Calibri"/>
        <family val="2"/>
        <scheme val="minor"/>
      </rPr>
      <t xml:space="preserve">
Core variables are defined in the Reference Manual. </t>
    </r>
    <r>
      <rPr>
        <sz val="10"/>
        <color theme="1"/>
        <rFont val="Calibri"/>
        <family val="2"/>
        <scheme val="minor"/>
      </rPr>
      <t xml:space="preserve">
</t>
    </r>
    <r>
      <rPr>
        <i/>
        <sz val="10"/>
        <color theme="1"/>
        <rFont val="Calibri"/>
        <family val="2"/>
        <scheme val="minor"/>
      </rPr>
      <t>Only applicable if more that one case surveillance information system is used which collects the same variables, has the same geographical coverage and collects data for the same time period</t>
    </r>
  </si>
  <si>
    <r>
      <rPr>
        <b/>
        <sz val="10"/>
        <color theme="1"/>
        <rFont val="Calibri"/>
        <family val="2"/>
        <scheme val="minor"/>
      </rPr>
      <t>Proportion of registers for a specified time period where core variables are complete</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registers completed in a specified time period with 100% of core variables  completed
</t>
    </r>
    <r>
      <rPr>
        <b/>
        <sz val="10"/>
        <color theme="1"/>
        <rFont val="Calibri"/>
        <family val="2"/>
        <scheme val="minor"/>
      </rPr>
      <t>Denominator:</t>
    </r>
    <r>
      <rPr>
        <sz val="10"/>
        <color theme="1"/>
        <rFont val="Calibri"/>
        <family val="2"/>
        <scheme val="minor"/>
      </rPr>
      <t xml:space="preserve"> Number of registers completed in a /the specified time period
</t>
    </r>
    <r>
      <rPr>
        <i/>
        <sz val="10"/>
        <color theme="1"/>
        <rFont val="Calibri"/>
        <family val="2"/>
        <scheme val="minor"/>
      </rPr>
      <t xml:space="preserve">
Core variables are defined in the Reference Manual. </t>
    </r>
    <r>
      <rPr>
        <sz val="10"/>
        <color theme="1"/>
        <rFont val="Calibri"/>
        <family val="2"/>
        <scheme val="minor"/>
      </rPr>
      <t xml:space="preserve">
</t>
    </r>
  </si>
  <si>
    <r>
      <rPr>
        <b/>
        <sz val="10"/>
        <color theme="1"/>
        <rFont val="Calibri"/>
        <family val="2"/>
        <scheme val="minor"/>
      </rPr>
      <t xml:space="preserve">Proportion of all core variable values that match between registers and reports in the same specified time period </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values in the register that match the values in aggregate reports or in the central database from a specified time period
</t>
    </r>
    <r>
      <rPr>
        <b/>
        <sz val="10"/>
        <color theme="1"/>
        <rFont val="Calibri"/>
        <family val="2"/>
        <scheme val="minor"/>
      </rPr>
      <t>Denominator:</t>
    </r>
    <r>
      <rPr>
        <sz val="10"/>
        <color theme="1"/>
        <rFont val="Calibri"/>
        <family val="2"/>
        <scheme val="minor"/>
      </rPr>
      <t xml:space="preserve"> Number of paired sources from a the specified time period 
</t>
    </r>
    <r>
      <rPr>
        <i/>
        <sz val="10"/>
        <color theme="1"/>
        <rFont val="Calibri"/>
        <family val="2"/>
        <scheme val="minor"/>
      </rPr>
      <t xml:space="preserve">
For example: Number of confirmed cases from the OPD registers match the number of confirmed cases in the aggregate report received at the district level. Note that countries can also include concordance between registers collecting the same information e.g  Number of RDT/microscopy positive cases from OPD registers match the number of RDT/microscopy positive cases from laboratory register. Core variables are defined in the Reference Manual. In elimination settings cases in the central database should  be compared with the case file.</t>
    </r>
    <r>
      <rPr>
        <sz val="10"/>
        <color theme="1"/>
        <rFont val="Calibri"/>
        <family val="2"/>
        <scheme val="minor"/>
      </rPr>
      <t xml:space="preserve">
</t>
    </r>
  </si>
  <si>
    <r>
      <rPr>
        <b/>
        <sz val="10"/>
        <color theme="1"/>
        <rFont val="Calibri"/>
        <family val="2"/>
        <scheme val="minor"/>
      </rPr>
      <t xml:space="preserve">The  value difference for each core variable between data source one (D1) and data source 2 (D2) </t>
    </r>
    <r>
      <rPr>
        <sz val="10"/>
        <color theme="1"/>
        <rFont val="Calibri"/>
        <family val="2"/>
        <scheme val="minor"/>
      </rPr>
      <t xml:space="preserve">
</t>
    </r>
    <r>
      <rPr>
        <i/>
        <sz val="10"/>
        <color theme="1"/>
        <rFont val="Calibri"/>
        <family val="2"/>
        <scheme val="minor"/>
      </rPr>
      <t>(linked to concordance indicators above)</t>
    </r>
    <r>
      <rPr>
        <sz val="10"/>
        <color theme="1"/>
        <rFont val="Calibri"/>
        <family val="2"/>
        <scheme val="minor"/>
      </rPr>
      <t xml:space="preserve">
</t>
    </r>
    <r>
      <rPr>
        <b/>
        <sz val="10"/>
        <color theme="1"/>
        <rFont val="Calibri"/>
        <family val="2"/>
        <scheme val="minor"/>
      </rPr>
      <t>Difference:</t>
    </r>
    <r>
      <rPr>
        <sz val="10"/>
        <color theme="1"/>
        <rFont val="Calibri"/>
        <family val="2"/>
        <scheme val="minor"/>
      </rPr>
      <t xml:space="preserve"> |x|=(D_1  value)-(D_2  value)
</t>
    </r>
    <r>
      <rPr>
        <i/>
        <sz val="10"/>
        <color theme="1"/>
        <rFont val="Calibri"/>
        <family val="2"/>
        <scheme val="minor"/>
      </rPr>
      <t xml:space="preserve">
For example: The number of RDT positive cases from the  aggregate report minus the number of RDT positive cases from the  OPD registers)
</t>
    </r>
  </si>
  <si>
    <r>
      <rPr>
        <b/>
        <sz val="10"/>
        <color theme="1"/>
        <rFont val="Calibri"/>
        <family val="2"/>
        <scheme val="minor"/>
      </rPr>
      <t xml:space="preserve">Top three reasons given during the assessment as explanations for the observed data quality </t>
    </r>
    <r>
      <rPr>
        <sz val="10"/>
        <color theme="1"/>
        <rFont val="Calibri"/>
        <family val="2"/>
        <scheme val="minor"/>
      </rPr>
      <t xml:space="preserve">
</t>
    </r>
    <r>
      <rPr>
        <i/>
        <sz val="10"/>
        <color theme="1"/>
        <rFont val="Calibri"/>
        <family val="2"/>
        <scheme val="minor"/>
      </rPr>
      <t xml:space="preserve">
Where possible, provide reasons for strong/ poor timeliness, completeness, and concordance separately 
</t>
    </r>
  </si>
  <si>
    <r>
      <rPr>
        <b/>
        <sz val="10"/>
        <color theme="1"/>
        <rFont val="Calibri"/>
        <family val="2"/>
        <scheme val="minor"/>
      </rPr>
      <t xml:space="preserve">All sectors (public, private formal, private informal, community ) are mandated to report malaria cases into some information system (either in to the HMIS, IDSR, a malaria-specific system, or other) </t>
    </r>
    <r>
      <rPr>
        <sz val="10"/>
        <color theme="1"/>
        <rFont val="Calibri"/>
        <family val="2"/>
        <scheme val="minor"/>
      </rPr>
      <t xml:space="preserve">
</t>
    </r>
    <r>
      <rPr>
        <b/>
        <sz val="10"/>
        <color theme="1"/>
        <rFont val="Calibri"/>
        <family val="2"/>
        <scheme val="minor"/>
      </rPr>
      <t xml:space="preserve">Question format: </t>
    </r>
    <r>
      <rPr>
        <sz val="10"/>
        <color theme="1"/>
        <rFont val="Calibri"/>
        <family val="2"/>
        <scheme val="minor"/>
      </rPr>
      <t xml:space="preserve">Which sectors of the health system are mandated to report malaria cases? 
</t>
    </r>
    <r>
      <rPr>
        <i/>
        <sz val="10"/>
        <color theme="1"/>
        <rFont val="Calibri"/>
        <family val="2"/>
        <scheme val="minor"/>
      </rPr>
      <t xml:space="preserve">
In elimination settings </t>
    </r>
    <r>
      <rPr>
        <b/>
        <i/>
        <sz val="10"/>
        <color theme="1"/>
        <rFont val="Calibri"/>
        <family val="2"/>
        <scheme val="minor"/>
      </rPr>
      <t>case based data</t>
    </r>
    <r>
      <rPr>
        <i/>
        <sz val="10"/>
        <color theme="1"/>
        <rFont val="Calibri"/>
        <family val="2"/>
        <scheme val="minor"/>
      </rPr>
      <t xml:space="preserve"> should be reported from all sectors.
</t>
    </r>
  </si>
  <si>
    <r>
      <rPr>
        <b/>
        <sz val="10"/>
        <rFont val="Calibri"/>
        <family val="2"/>
        <scheme val="minor"/>
      </rPr>
      <t>Proportion of criteria* adhered in malaria case surveillance process based on the transmission continuum</t>
    </r>
    <r>
      <rPr>
        <sz val="10"/>
        <rFont val="Calibri"/>
        <family val="2"/>
        <scheme val="minor"/>
      </rPr>
      <t xml:space="preserve"> (Ref Figure 4 in the WHO Malaria surveillance, monitoring &amp; evaluation: a reference manual)
</t>
    </r>
    <r>
      <rPr>
        <b/>
        <sz val="10"/>
        <rFont val="Calibri"/>
        <family val="2"/>
        <scheme val="minor"/>
      </rPr>
      <t>Numerator</t>
    </r>
    <r>
      <rPr>
        <sz val="10"/>
        <rFont val="Calibri"/>
        <family val="2"/>
        <scheme val="minor"/>
      </rPr>
      <t xml:space="preserve">: Number of criteria met
</t>
    </r>
    <r>
      <rPr>
        <b/>
        <sz val="10"/>
        <rFont val="Calibri"/>
        <family val="2"/>
        <scheme val="minor"/>
      </rPr>
      <t>Denominator</t>
    </r>
    <r>
      <rPr>
        <sz val="10"/>
        <rFont val="Calibri"/>
        <family val="2"/>
        <scheme val="minor"/>
      </rPr>
      <t xml:space="preserve">: Total number of criteria (n=3)
</t>
    </r>
    <r>
      <rPr>
        <i/>
        <sz val="10"/>
        <rFont val="Calibri"/>
        <family val="2"/>
        <scheme val="minor"/>
      </rPr>
      <t xml:space="preserve">
</t>
    </r>
    <r>
      <rPr>
        <sz val="10"/>
        <rFont val="Calibri"/>
        <family val="2"/>
        <scheme val="minor"/>
      </rPr>
      <t>* Criteria for reporting are: 
- Reporting occurs at the frequency expected given the country/ areas status on the transmission continuum (e.g. high burden areas report monthly, elimination area report immediately) 
- Data reported is aggregated to the level expected given the country/ areas status on the transmission continuum (e.g. high burden areas report aggregate cases by sex and age category, elimination areas report case report, age, sex, residence, travel history and case classification)
- Reporting of zero cases is mandated (i.e. reporting is required even if there are no cases)</t>
    </r>
  </si>
  <si>
    <r>
      <rPr>
        <b/>
        <sz val="10"/>
        <rFont val="Calibri"/>
        <family val="2"/>
        <scheme val="minor"/>
      </rPr>
      <t>Average score (based on a Likert scale of 1 (“strongly disagree”) to 5 (“strongly agree”)) of respondents perception* of the complexity of the recording process</t>
    </r>
    <r>
      <rPr>
        <sz val="10"/>
        <rFont val="Calibri"/>
        <family val="2"/>
        <scheme val="minor"/>
      </rPr>
      <t xml:space="preserve">
</t>
    </r>
    <r>
      <rPr>
        <b/>
        <sz val="10"/>
        <rFont val="Calibri"/>
        <family val="2"/>
        <scheme val="minor"/>
      </rPr>
      <t xml:space="preserve">Numerator: </t>
    </r>
    <r>
      <rPr>
        <sz val="10"/>
        <rFont val="Calibri"/>
        <family val="2"/>
        <scheme val="minor"/>
      </rPr>
      <t xml:space="preserve">Sum of average Likert scores from respondents for each of the 4 criteria 
</t>
    </r>
    <r>
      <rPr>
        <b/>
        <sz val="10"/>
        <rFont val="Calibri"/>
        <family val="2"/>
        <scheme val="minor"/>
      </rPr>
      <t xml:space="preserve">Denominator: </t>
    </r>
    <r>
      <rPr>
        <sz val="10"/>
        <rFont val="Calibri"/>
        <family val="2"/>
        <scheme val="minor"/>
      </rPr>
      <t xml:space="preserve">4 criteria x 5 possible points
</t>
    </r>
    <r>
      <rPr>
        <i/>
        <sz val="10"/>
        <rFont val="Calibri"/>
        <family val="2"/>
        <scheme val="minor"/>
      </rPr>
      <t xml:space="preserve">
*where respondents perception of complexity is measured based on rankings for the following criteria:
-I understand data elements/ variables/ fields recorded for malaria surveillance
-The process for data recording (tools, personnel, frequency) is clearly documented in guidelines or SOPs
-I feel that recording malaria data for routine surveillance is straightforward and streamlined (i.e. no overlapping or duplicative processes)
-I know who to ask or what documents to reference for troubleshooting and support for data recording
</t>
    </r>
  </si>
  <si>
    <r>
      <rPr>
        <b/>
        <sz val="10"/>
        <rFont val="Calibri"/>
        <family val="2"/>
        <scheme val="minor"/>
      </rPr>
      <t>Average score (based on a Likert scale of 1 (“strongly disagree”) to 5 (“strongly agree”)) of respondents perception of the complexity of the validation process*</t>
    </r>
    <r>
      <rPr>
        <sz val="10"/>
        <rFont val="Calibri"/>
        <family val="2"/>
        <scheme val="minor"/>
      </rPr>
      <t xml:space="preserve">
</t>
    </r>
    <r>
      <rPr>
        <b/>
        <sz val="10"/>
        <rFont val="Calibri"/>
        <family val="2"/>
        <scheme val="minor"/>
      </rPr>
      <t>Numerator:</t>
    </r>
    <r>
      <rPr>
        <sz val="10"/>
        <rFont val="Calibri"/>
        <family val="2"/>
        <scheme val="minor"/>
      </rPr>
      <t xml:space="preserve"> Sum of average Likert scores from respondents for each of the 3 criteria 
</t>
    </r>
    <r>
      <rPr>
        <b/>
        <sz val="10"/>
        <rFont val="Calibri"/>
        <family val="2"/>
        <scheme val="minor"/>
      </rPr>
      <t>Denominator</t>
    </r>
    <r>
      <rPr>
        <sz val="10"/>
        <rFont val="Calibri"/>
        <family val="2"/>
        <scheme val="minor"/>
      </rPr>
      <t>:</t>
    </r>
    <r>
      <rPr>
        <b/>
        <sz val="10"/>
        <rFont val="Calibri"/>
        <family val="2"/>
        <scheme val="minor"/>
      </rPr>
      <t xml:space="preserve"> </t>
    </r>
    <r>
      <rPr>
        <sz val="10"/>
        <rFont val="Calibri"/>
        <family val="2"/>
        <scheme val="minor"/>
      </rPr>
      <t>3 criteria x 5 possible points</t>
    </r>
    <r>
      <rPr>
        <b/>
        <sz val="10"/>
        <rFont val="Calibri"/>
        <family val="2"/>
        <scheme val="minor"/>
      </rPr>
      <t xml:space="preserve">
</t>
    </r>
    <r>
      <rPr>
        <sz val="10"/>
        <rFont val="Calibri"/>
        <family val="2"/>
        <scheme val="minor"/>
      </rPr>
      <t xml:space="preserve">
*where respondents perception of complexity is measured based on rankings for the following criteria:
I understand data elements/ variables/ fields to be validated during malaria surveillance
I feel that validating malaria data for routine surveillance is straightforward and streamlined 
I know who to ask or what documents to reference for troubleshooting and support for data validation
</t>
    </r>
  </si>
  <si>
    <r>
      <rPr>
        <b/>
        <sz val="10"/>
        <rFont val="Calibri"/>
        <family val="2"/>
        <scheme val="minor"/>
      </rPr>
      <t>Average score (based on a Likert scale of 1 (“strongly disagree”) to 5 (“strongly agree”)) of respondents perception of the complexity of the process to access data*</t>
    </r>
    <r>
      <rPr>
        <sz val="10"/>
        <rFont val="Calibri"/>
        <family val="2"/>
        <scheme val="minor"/>
      </rPr>
      <t xml:space="preserve">
</t>
    </r>
    <r>
      <rPr>
        <b/>
        <sz val="10"/>
        <rFont val="Calibri"/>
        <family val="2"/>
        <scheme val="minor"/>
      </rPr>
      <t>Numerator:</t>
    </r>
    <r>
      <rPr>
        <sz val="10"/>
        <rFont val="Calibri"/>
        <family val="2"/>
        <scheme val="minor"/>
      </rPr>
      <t xml:space="preserve"> Sum of average Likert scores from respondents for each of the 3 criteria 
</t>
    </r>
    <r>
      <rPr>
        <b/>
        <sz val="10"/>
        <rFont val="Calibri"/>
        <family val="2"/>
        <scheme val="minor"/>
      </rPr>
      <t>Denominator:</t>
    </r>
    <r>
      <rPr>
        <sz val="10"/>
        <rFont val="Calibri"/>
        <family val="2"/>
        <scheme val="minor"/>
      </rPr>
      <t xml:space="preserve"> 3 criteria x 5 possible points
*where respondents perception of complexity is measured based on rankings for the following criteria:
-I know how to access malaria surveillance data or who to request malaria surveillance data from
-I can access or receive requested malaria surveillance data in a timely manner
-In the previous year I have not had issues with malaria surveillance data access 
</t>
    </r>
  </si>
  <si>
    <r>
      <rPr>
        <b/>
        <sz val="10"/>
        <rFont val="Calibri"/>
        <family val="2"/>
        <scheme val="minor"/>
      </rPr>
      <t xml:space="preserve">Proportion of subnational  level units with copies of {national three or five-year strategic plan that includes malaria surveillance or surveillance standard operating procedures (SOPs)} </t>
    </r>
    <r>
      <rPr>
        <sz val="10"/>
        <rFont val="Calibri"/>
        <family val="2"/>
        <scheme val="minor"/>
      </rPr>
      <t xml:space="preserve">
</t>
    </r>
    <r>
      <rPr>
        <b/>
        <sz val="10"/>
        <rFont val="Calibri"/>
        <family val="2"/>
        <scheme val="minor"/>
      </rPr>
      <t>Numerator:</t>
    </r>
    <r>
      <rPr>
        <sz val="10"/>
        <rFont val="Calibri"/>
        <family val="2"/>
        <scheme val="minor"/>
      </rPr>
      <t xml:space="preserve"> Number of regions, districts, or facilities with copies of malaria surveillance planning documents or SOPs
</t>
    </r>
    <r>
      <rPr>
        <b/>
        <sz val="10"/>
        <rFont val="Calibri"/>
        <family val="2"/>
        <scheme val="minor"/>
      </rPr>
      <t>Denominator:</t>
    </r>
    <r>
      <rPr>
        <sz val="10"/>
        <rFont val="Calibri"/>
        <family val="2"/>
        <scheme val="minor"/>
      </rPr>
      <t xml:space="preserve"> Number of regions, districts, or facilities assessed
</t>
    </r>
    <r>
      <rPr>
        <i/>
        <sz val="10"/>
        <rFont val="Calibri"/>
        <family val="2"/>
        <scheme val="minor"/>
      </rPr>
      <t xml:space="preserve">
Determine the country-specific name(s) of documents in the desk review phase
</t>
    </r>
    <r>
      <rPr>
        <sz val="10"/>
        <rFont val="Calibri"/>
        <family val="2"/>
        <scheme val="minor"/>
      </rPr>
      <t xml:space="preserve">
</t>
    </r>
  </si>
  <si>
    <t xml:space="preserve">* These indicators should be assessed for each of the following malaria control  strategies that are implemented in the country </t>
  </si>
  <si>
    <t>Surveillance of malaria control strategies</t>
  </si>
  <si>
    <t>Burden reduction + (Drug efficacy surveillance OR SMC OR MDA)</t>
  </si>
  <si>
    <t>Burden reduction + Drug efficacy surveillance</t>
  </si>
  <si>
    <t xml:space="preserve">Drug efficacy surveillance </t>
  </si>
  <si>
    <t xml:space="preserve">Genomic surveillance (drug resistance and pfhrp 2/3 gene deletions)  </t>
  </si>
  <si>
    <t>Drug efficacy surveillance</t>
  </si>
  <si>
    <t>count for numbering</t>
  </si>
  <si>
    <t>Indicator selected (Yes)</t>
  </si>
  <si>
    <t xml:space="preserve">Intervention implementation surveillance (chemoprevention: intermittent preventative treatment of malaria in pregnant women (IPTp), intermittent preventative treatment of malaria in infancy (IPTi), seasonal malaria chemoprophylaxis (SMC), mass drug administration (MDA); vector control: insecticide treated nets (ITNs) distributed through routine channels and/or mass campaigns, indoor residual spraying (IRS) and larval control)
</t>
  </si>
  <si>
    <r>
      <rPr>
        <b/>
        <sz val="10"/>
        <color theme="1"/>
        <rFont val="Calibri"/>
        <family val="2"/>
        <scheme val="minor"/>
      </rPr>
      <t xml:space="preserve">Proportion of all cases meeting the suspect case definition that received a parasitological test (RDT and/or microscopy). </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suspected cases that received a parasitological test (RDT and/or microscopy). 
</t>
    </r>
    <r>
      <rPr>
        <b/>
        <sz val="10"/>
        <color theme="1"/>
        <rFont val="Calibri"/>
        <family val="2"/>
        <scheme val="minor"/>
      </rPr>
      <t>Denominator: S</t>
    </r>
    <r>
      <rPr>
        <sz val="10"/>
        <color theme="1"/>
        <rFont val="Calibri"/>
        <family val="2"/>
        <scheme val="minor"/>
      </rPr>
      <t xml:space="preserve">uspected cases 
</t>
    </r>
    <r>
      <rPr>
        <i/>
        <sz val="10"/>
        <color theme="1"/>
        <rFont val="Calibri"/>
        <family val="2"/>
        <scheme val="minor"/>
      </rPr>
      <t>In elimination settings efforts should be made to also investigate whether all suspects are reported and findings should be documented.</t>
    </r>
  </si>
  <si>
    <r>
      <rPr>
        <b/>
        <sz val="10"/>
        <rFont val="Calibri"/>
        <family val="2"/>
        <scheme val="minor"/>
      </rPr>
      <t>Proportion of cases that receive a parasitologically confirmed diagnosis within 24 hours of first attending a health facility</t>
    </r>
    <r>
      <rPr>
        <sz val="10"/>
        <rFont val="Calibri"/>
        <family val="2"/>
        <scheme val="minor"/>
      </rPr>
      <t xml:space="preserve">
</t>
    </r>
    <r>
      <rPr>
        <b/>
        <sz val="10"/>
        <rFont val="Calibri"/>
        <family val="2"/>
        <scheme val="minor"/>
      </rPr>
      <t>Numerator:</t>
    </r>
    <r>
      <rPr>
        <sz val="10"/>
        <rFont val="Calibri"/>
        <family val="2"/>
        <scheme val="minor"/>
      </rPr>
      <t xml:space="preserve"> Number of cases with a parasitologically confirmed diagnosed within 24 hours of first attending a health facility
</t>
    </r>
    <r>
      <rPr>
        <b/>
        <sz val="10"/>
        <rFont val="Calibri"/>
        <family val="2"/>
        <scheme val="minor"/>
      </rPr>
      <t>Denominator:</t>
    </r>
    <r>
      <rPr>
        <sz val="10"/>
        <rFont val="Calibri"/>
        <family val="2"/>
        <scheme val="minor"/>
      </rPr>
      <t xml:space="preserve"> Number of confirmed cases </t>
    </r>
  </si>
  <si>
    <r>
      <rPr>
        <b/>
        <sz val="10"/>
        <color theme="1"/>
        <rFont val="Calibri"/>
        <family val="2"/>
        <scheme val="minor"/>
      </rPr>
      <t>A Therapeutic Efficacy Study (TES)/ Integrated Drug Efficacy Study (iDES) been carried out in line with WHO protocol</t>
    </r>
    <r>
      <rPr>
        <sz val="10"/>
        <color theme="1"/>
        <rFont val="Calibri"/>
        <family val="2"/>
        <scheme val="minor"/>
      </rPr>
      <t xml:space="preserve">
</t>
    </r>
    <r>
      <rPr>
        <b/>
        <sz val="10"/>
        <color theme="1"/>
        <rFont val="Calibri"/>
        <family val="2"/>
        <scheme val="minor"/>
      </rPr>
      <t xml:space="preserve">Question format: </t>
    </r>
    <r>
      <rPr>
        <sz val="10"/>
        <color theme="1"/>
        <rFont val="Calibri"/>
        <family val="2"/>
        <scheme val="minor"/>
      </rPr>
      <t xml:space="preserve">Has a Therapeutic Efficacy Study (TES) or  Integrated Drug Efficacy Study (iDES)   been carried out in line with WHO protocol?
</t>
    </r>
    <r>
      <rPr>
        <b/>
        <sz val="10"/>
        <color theme="1"/>
        <rFont val="Calibri"/>
        <family val="2"/>
        <scheme val="minor"/>
      </rPr>
      <t xml:space="preserve">
&lt;10% failure rate at day 28 and 42 documented for all drugs tested and used for treatment (each drug should be listed with the result)
Numerator: </t>
    </r>
    <r>
      <rPr>
        <sz val="10"/>
        <color theme="1"/>
        <rFont val="Calibri"/>
        <family val="2"/>
        <scheme val="minor"/>
      </rPr>
      <t xml:space="preserve">Number of drugs tested and used for treatment with &lt;10% failure rate at day 28 and 42
</t>
    </r>
    <r>
      <rPr>
        <b/>
        <sz val="10"/>
        <color theme="1"/>
        <rFont val="Calibri"/>
        <family val="2"/>
        <scheme val="minor"/>
      </rPr>
      <t>Denominator:</t>
    </r>
    <r>
      <rPr>
        <sz val="10"/>
        <color theme="1"/>
        <rFont val="Calibri"/>
        <family val="2"/>
        <scheme val="minor"/>
      </rPr>
      <t xml:space="preserve"> Number of drugs tested and used for treatment 
</t>
    </r>
  </si>
  <si>
    <r>
      <rPr>
        <b/>
        <sz val="10"/>
        <color theme="1"/>
        <rFont val="Calibri"/>
        <family val="2"/>
        <scheme val="minor"/>
      </rPr>
      <t>Molecular analysis is carried out for monitoring  drug  resistance</t>
    </r>
    <r>
      <rPr>
        <sz val="10"/>
        <color theme="1"/>
        <rFont val="Calibri"/>
        <family val="2"/>
        <scheme val="minor"/>
      </rPr>
      <t xml:space="preserve">
</t>
    </r>
    <r>
      <rPr>
        <b/>
        <sz val="10"/>
        <color theme="1"/>
        <rFont val="Calibri"/>
        <family val="2"/>
        <scheme val="minor"/>
      </rPr>
      <t>Question format:</t>
    </r>
    <r>
      <rPr>
        <sz val="10"/>
        <color theme="1"/>
        <rFont val="Calibri"/>
        <family val="2"/>
        <scheme val="minor"/>
      </rPr>
      <t xml:space="preserve"> Is molecular analysis carried out for monitoring drug  resistance?
</t>
    </r>
    <r>
      <rPr>
        <i/>
        <sz val="10"/>
        <color theme="1"/>
        <rFont val="Calibri"/>
        <family val="2"/>
        <scheme val="minor"/>
      </rPr>
      <t>Note:If entomology has been selected as a malaria control strategy then this indicator should be assessed for insecticide resistance</t>
    </r>
  </si>
  <si>
    <t>Burden reduction + (Genomic surveillance OR SMC OR MDA)</t>
  </si>
  <si>
    <t>Yes (Entomology only for insecticide resistance)</t>
  </si>
  <si>
    <r>
      <rPr>
        <b/>
        <sz val="10"/>
        <color theme="1"/>
        <rFont val="Calibri"/>
        <family val="2"/>
        <scheme val="minor"/>
      </rPr>
      <t>Proportion of data collection points that have a copy of the surveillance guidelines (i.e. documented procedural guidelines/SOP for surveillance process)</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Data collection points that have a copy of the surveillance guidelines </t>
    </r>
    <r>
      <rPr>
        <b/>
        <sz val="10"/>
        <color theme="1"/>
        <rFont val="Calibri"/>
        <family val="2"/>
        <scheme val="minor"/>
      </rPr>
      <t xml:space="preserve">
Denominator: </t>
    </r>
    <r>
      <rPr>
        <sz val="10"/>
        <color theme="1"/>
        <rFont val="Calibri"/>
        <family val="2"/>
        <scheme val="minor"/>
      </rPr>
      <t xml:space="preserve">Total number of data collection points recording and/or reporting malaria surveillance data
</t>
    </r>
    <r>
      <rPr>
        <i/>
        <sz val="10"/>
        <color theme="1"/>
        <rFont val="Calibri"/>
        <family val="2"/>
        <scheme val="minor"/>
      </rPr>
      <t xml:space="preserve">
If only desk-level data collection is done, this is estimated by the number of sectors which receive guidelines (e.g. public, private-formal, private-informal, community)
If guidelines are available online, confirm that reliable connection is available to access guidelines. 
In elimination settings guidelines should include  passive, proactive and reactive surveillance, case and focus investigations.These will not be separate guidelines. 
</t>
    </r>
  </si>
  <si>
    <r>
      <rPr>
        <b/>
        <sz val="10"/>
        <color theme="1"/>
        <rFont val="Calibri"/>
        <family val="2"/>
        <scheme val="minor"/>
      </rPr>
      <t>Proportion of surveillance staff available of surveillance staff required</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surveillance staff currently available
</t>
    </r>
    <r>
      <rPr>
        <b/>
        <sz val="10"/>
        <color theme="1"/>
        <rFont val="Calibri"/>
        <family val="2"/>
        <scheme val="minor"/>
      </rPr>
      <t>Denominator</t>
    </r>
    <r>
      <rPr>
        <sz val="10"/>
        <color theme="1"/>
        <rFont val="Calibri"/>
        <family val="2"/>
        <scheme val="minor"/>
      </rPr>
      <t xml:space="preserve">: Total number of surveillance staff required to execute surveillance (estimated by NSP, HMIS budget, or other strategic planning documents)
</t>
    </r>
  </si>
  <si>
    <t>Health facility</t>
  </si>
  <si>
    <t>DATA QUALITY ASSURANCE</t>
  </si>
  <si>
    <t>Data quality assurance procedures are in place</t>
  </si>
  <si>
    <t>Priority indicators n=54; all indicators n=85</t>
  </si>
  <si>
    <t>TECHNICAL AND PROCESSES</t>
  </si>
  <si>
    <r>
      <rPr>
        <b/>
        <sz val="10"/>
        <color theme="1"/>
        <rFont val="Calibri"/>
        <family val="2"/>
        <scheme val="minor"/>
      </rPr>
      <t>Proportion of attributes*  that are met or adequate for malaria surveillance information system(s)</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attributes met
</t>
    </r>
    <r>
      <rPr>
        <b/>
        <sz val="10"/>
        <color theme="1"/>
        <rFont val="Calibri"/>
        <family val="2"/>
        <scheme val="minor"/>
      </rPr>
      <t xml:space="preserve">Denominator: </t>
    </r>
    <r>
      <rPr>
        <sz val="10"/>
        <color theme="1"/>
        <rFont val="Calibri"/>
        <family val="2"/>
        <scheme val="minor"/>
      </rPr>
      <t xml:space="preserve">Total number of attributes (n=4) 
*The four attributes used to evaluate information systems using this toolkit are included in the Desk Review Template are:
</t>
    </r>
    <r>
      <rPr>
        <b/>
        <sz val="10"/>
        <color theme="1"/>
        <rFont val="Calibri"/>
        <family val="2"/>
        <scheme val="minor"/>
      </rPr>
      <t>-</t>
    </r>
    <r>
      <rPr>
        <b/>
        <u/>
        <sz val="10"/>
        <color theme="1"/>
        <rFont val="Calibri"/>
        <family val="2"/>
        <scheme val="minor"/>
      </rPr>
      <t>Flexibility:</t>
    </r>
    <r>
      <rPr>
        <b/>
        <sz val="10"/>
        <color theme="1"/>
        <rFont val="Calibri"/>
        <family val="2"/>
        <scheme val="minor"/>
      </rPr>
      <t xml:space="preserve"> </t>
    </r>
    <r>
      <rPr>
        <sz val="10"/>
        <color theme="1"/>
        <rFont val="Calibri"/>
        <family val="2"/>
        <scheme val="minor"/>
      </rPr>
      <t>the procedure for making revisions is straightforward e.g. adding indicators, accommodating changes in case definitions or technology, etc.
-</t>
    </r>
    <r>
      <rPr>
        <b/>
        <u/>
        <sz val="10"/>
        <color theme="1"/>
        <rFont val="Calibri"/>
        <family val="2"/>
        <scheme val="minor"/>
      </rPr>
      <t>Stability</t>
    </r>
    <r>
      <rPr>
        <sz val="10"/>
        <color theme="1"/>
        <rFont val="Calibri"/>
        <family val="2"/>
        <scheme val="minor"/>
      </rPr>
      <t xml:space="preserve">: system is fully operating with a planned and costed maintenance 
</t>
    </r>
    <r>
      <rPr>
        <b/>
        <sz val="10"/>
        <color theme="1"/>
        <rFont val="Calibri"/>
        <family val="2"/>
        <scheme val="minor"/>
      </rPr>
      <t>-</t>
    </r>
    <r>
      <rPr>
        <b/>
        <u/>
        <sz val="10"/>
        <color theme="1"/>
        <rFont val="Calibri"/>
        <family val="2"/>
        <scheme val="minor"/>
      </rPr>
      <t>Interoperability/integration</t>
    </r>
    <r>
      <rPr>
        <b/>
        <sz val="10"/>
        <color theme="1"/>
        <rFont val="Calibri"/>
        <family val="2"/>
        <scheme val="minor"/>
      </rPr>
      <t xml:space="preserve">: </t>
    </r>
    <r>
      <rPr>
        <sz val="10"/>
        <color theme="1"/>
        <rFont val="Calibri"/>
        <family val="2"/>
        <scheme val="minor"/>
      </rPr>
      <t xml:space="preserve">system uses standard data formats and integrated with other data sources, including denominator data (e.g. Master Facility list; administrative units, census/ enumeration and household surveys) and other malaria-relevant sources (e.g. vital registration, laboratory data, IPTp/ANC/screening data, etc.) 
- </t>
    </r>
    <r>
      <rPr>
        <b/>
        <u/>
        <sz val="10"/>
        <color theme="1"/>
        <rFont val="Calibri"/>
        <family val="2"/>
        <scheme val="minor"/>
      </rPr>
      <t>Visualization capacities:</t>
    </r>
    <r>
      <rPr>
        <b/>
        <sz val="10"/>
        <color theme="1"/>
        <rFont val="Calibri"/>
        <family val="2"/>
        <scheme val="minor"/>
      </rPr>
      <t xml:space="preserve"> </t>
    </r>
    <r>
      <rPr>
        <sz val="10"/>
        <color theme="1"/>
        <rFont val="Calibri"/>
        <family val="2"/>
        <scheme val="minor"/>
      </rPr>
      <t xml:space="preserve">system includes functionality for visualizing data in a dashboard 
</t>
    </r>
  </si>
  <si>
    <r>
      <rPr>
        <b/>
        <sz val="10"/>
        <color theme="1"/>
        <rFont val="Calibri"/>
        <family val="2"/>
        <scheme val="minor"/>
      </rPr>
      <t>Proportion of subnational levels that are allocated/allocate funds for malaria surveillance</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subnational level areas (regions, districts, facilities) that are allocated/allocated funds for malaria surveillance
</t>
    </r>
    <r>
      <rPr>
        <b/>
        <sz val="10"/>
        <color theme="1"/>
        <rFont val="Calibri"/>
        <family val="2"/>
        <scheme val="minor"/>
      </rPr>
      <t xml:space="preserve">Denominator: </t>
    </r>
    <r>
      <rPr>
        <sz val="10"/>
        <color theme="1"/>
        <rFont val="Calibri"/>
        <family val="2"/>
        <scheme val="minor"/>
      </rPr>
      <t xml:space="preserve">Total number of subnational level areas (regions, districts, facilities)
</t>
    </r>
    <r>
      <rPr>
        <i/>
        <sz val="10"/>
        <color theme="1"/>
        <rFont val="Calibri"/>
        <family val="2"/>
        <scheme val="minor"/>
      </rPr>
      <t xml:space="preserve">
If this is not known, a proxy may be if there is a long-term financial plan for supporting malaria surveillance activities, and if these are available at subnational level areas
</t>
    </r>
  </si>
  <si>
    <r>
      <rPr>
        <b/>
        <sz val="10"/>
        <color theme="1"/>
        <rFont val="Calibri"/>
        <family val="2"/>
        <scheme val="minor"/>
      </rPr>
      <t>Proportion of respondents from service-delivery points assessed that correctly defined malaria cases*</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respondents who identified correct definition(s)
</t>
    </r>
    <r>
      <rPr>
        <b/>
        <sz val="10"/>
        <color theme="1"/>
        <rFont val="Calibri"/>
        <family val="2"/>
        <scheme val="minor"/>
      </rPr>
      <t>Denominator:</t>
    </r>
    <r>
      <rPr>
        <sz val="10"/>
        <color theme="1"/>
        <rFont val="Calibri"/>
        <family val="2"/>
        <scheme val="minor"/>
      </rPr>
      <t xml:space="preserve"> Total number of respondents surveyed
</t>
    </r>
    <r>
      <rPr>
        <i/>
        <sz val="10"/>
        <color theme="1"/>
        <rFont val="Calibri"/>
        <family val="2"/>
        <scheme val="minor"/>
      </rPr>
      <t>* (suspected, presumed, confirmed)
Respondent should provide the correct definitions for ALL relevant terms. The correct definitions are consistent with WHO malaria terminology.</t>
    </r>
    <r>
      <rPr>
        <sz val="10"/>
        <color theme="1"/>
        <rFont val="Calibri"/>
        <family val="2"/>
        <scheme val="minor"/>
      </rPr>
      <t xml:space="preserve">
</t>
    </r>
  </si>
  <si>
    <t>Health sector (public/private)</t>
  </si>
  <si>
    <t>Geographical area (province/district, type of facility (e.g public, private, community)</t>
  </si>
  <si>
    <t>Geographical area (province/district, type of facility (e.g public, private, community), outpatients vs inpatients if forms are reported separately, time (year and month)</t>
  </si>
  <si>
    <t>Priority</t>
  </si>
  <si>
    <t>Priority
(Optional in elimination settings)</t>
  </si>
  <si>
    <t>Desk review + survey (self-assessment is recommended)</t>
  </si>
  <si>
    <t>Survey (self-assessment is recommended)</t>
  </si>
  <si>
    <t xml:space="preserve">Genomic surveillance (drug resistance and pfhrp 2/3 gene deletions) </t>
  </si>
  <si>
    <r>
      <rPr>
        <b/>
        <sz val="10"/>
        <rFont val="Calibri"/>
        <family val="2"/>
        <scheme val="minor"/>
      </rPr>
      <t>Average score (based on a Likert scale of 1 (“strongly disagree”) to 5 (“strongly agree”)) of respondents perception* of the complexity of the routine analysis process</t>
    </r>
    <r>
      <rPr>
        <sz val="10"/>
        <rFont val="Calibri"/>
        <family val="2"/>
        <scheme val="minor"/>
      </rPr>
      <t xml:space="preserve">
</t>
    </r>
    <r>
      <rPr>
        <b/>
        <sz val="10"/>
        <rFont val="Calibri"/>
        <family val="2"/>
        <scheme val="minor"/>
      </rPr>
      <t>Numerator:</t>
    </r>
    <r>
      <rPr>
        <sz val="10"/>
        <rFont val="Calibri"/>
        <family val="2"/>
        <scheme val="minor"/>
      </rPr>
      <t xml:space="preserve"> Sum of average Likert scores from respondents for each of the 4 criteria 
</t>
    </r>
    <r>
      <rPr>
        <b/>
        <sz val="10"/>
        <rFont val="Calibri"/>
        <family val="2"/>
        <scheme val="minor"/>
      </rPr>
      <t>Denominator:</t>
    </r>
    <r>
      <rPr>
        <sz val="10"/>
        <rFont val="Calibri"/>
        <family val="2"/>
        <scheme val="minor"/>
      </rPr>
      <t xml:space="preserve"> 4 criteria x 5 possible points
</t>
    </r>
    <r>
      <rPr>
        <i/>
        <sz val="10"/>
        <rFont val="Calibri"/>
        <family val="2"/>
        <scheme val="minor"/>
      </rPr>
      <t xml:space="preserve">*where respondents perception of complexity is measured based on rankings for the following criteria:
-I understand data elements/ variables/ indicators that should be calculated for malaria surveillance routine analysis 
-The process for data analysis (tools, personnel, frequency) is clearly documented in guidelines or SOPs
-I feel that data analysis for routine surveillance is straightforward and streamlined (i.e. no overlapping or duplicative processes, multiple forms, etc.)
-I know who to ask or what documents to reference for troubleshooting and support for data analysis
</t>
    </r>
    <r>
      <rPr>
        <sz val="10"/>
        <rFont val="Calibri"/>
        <family val="2"/>
        <scheme val="minor"/>
      </rPr>
      <t xml:space="preserve">
</t>
    </r>
  </si>
  <si>
    <t>Malaria is a manditorily notifiable disease</t>
  </si>
  <si>
    <r>
      <rPr>
        <b/>
        <sz val="10"/>
        <color theme="1"/>
        <rFont val="Calibri"/>
        <family val="2"/>
        <scheme val="minor"/>
      </rPr>
      <t>Malaria is a manditorily notifiable disease</t>
    </r>
    <r>
      <rPr>
        <sz val="10"/>
        <color theme="1"/>
        <rFont val="Calibri"/>
        <family val="2"/>
        <scheme val="minor"/>
      </rPr>
      <t xml:space="preserve">
</t>
    </r>
    <r>
      <rPr>
        <b/>
        <sz val="10"/>
        <color theme="1"/>
        <rFont val="Calibri"/>
        <family val="2"/>
        <scheme val="minor"/>
      </rPr>
      <t>Question format:</t>
    </r>
    <r>
      <rPr>
        <sz val="10"/>
        <color theme="1"/>
        <rFont val="Calibri"/>
        <family val="2"/>
        <scheme val="minor"/>
      </rPr>
      <t xml:space="preserve"> Is malaria a manditorily notifiable disease?</t>
    </r>
  </si>
  <si>
    <r>
      <rPr>
        <b/>
        <sz val="10"/>
        <rFont val="Calibri"/>
        <family val="2"/>
        <scheme val="minor"/>
      </rPr>
      <t xml:space="preserve">Proportion of criteria* which are met by current malaria surveillance strategies </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criteria adhered to
</t>
    </r>
    <r>
      <rPr>
        <b/>
        <sz val="10"/>
        <rFont val="Calibri"/>
        <family val="2"/>
        <scheme val="minor"/>
      </rPr>
      <t xml:space="preserve">Denominator: </t>
    </r>
    <r>
      <rPr>
        <sz val="10"/>
        <rFont val="Calibri"/>
        <family val="2"/>
        <scheme val="minor"/>
      </rPr>
      <t xml:space="preserve">Total number of criteria
*criteria are based on WHO recommendations defined in the Malaria surveillance, monitoring &amp; evaluation: a reference manual. These are outlined in detail in the Desk Review Template and include: 
- Correct case/data definitions (epidemiological, entomological and intervention efficacy)
- Correct definitions used for classification of cases and foci (elimination settings)
- Timeframes for reporting (monthly/weekly in non elimination settings) and other surveillance activities (case and foci investigation in elimination settings) 
</t>
    </r>
    <r>
      <rPr>
        <i/>
        <sz val="10"/>
        <color rgb="FFFF0000"/>
        <rFont val="Calibri"/>
        <family val="2"/>
        <scheme val="minor"/>
      </rPr>
      <t xml:space="preserve">
</t>
    </r>
    <r>
      <rPr>
        <i/>
        <sz val="10"/>
        <rFont val="Calibri"/>
        <family val="2"/>
        <scheme val="minor"/>
      </rPr>
      <t xml:space="preserve">Note: This information is often found in the national surveillance guidelines or a similar document. Surveillance guidelines are assessed separately in 2.3 Guidelines, with a focus on guideline content and availability 
</t>
    </r>
    <r>
      <rPr>
        <i/>
        <sz val="10"/>
        <color rgb="FFFF0000"/>
        <rFont val="Calibri"/>
        <family val="2"/>
        <scheme val="minor"/>
      </rPr>
      <t xml:space="preserve">
</t>
    </r>
  </si>
  <si>
    <r>
      <rPr>
        <b/>
        <sz val="10"/>
        <color theme="1"/>
        <rFont val="Calibri"/>
        <family val="2"/>
        <scheme val="minor"/>
      </rPr>
      <t>Proportion of service-delivery points that experienced stock-outs of rapid diagnostic tests (RDTs) in the previous 6 months</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Number of  service-delivery points that experienced stock-outs of RDTs last 6 months
</t>
    </r>
    <r>
      <rPr>
        <b/>
        <sz val="10"/>
        <color theme="1"/>
        <rFont val="Calibri"/>
        <family val="2"/>
        <scheme val="minor"/>
      </rPr>
      <t>Denominator:</t>
    </r>
    <r>
      <rPr>
        <sz val="10"/>
        <color theme="1"/>
        <rFont val="Calibri"/>
        <family val="2"/>
        <scheme val="minor"/>
      </rPr>
      <t xml:space="preserve"> Total number of service-delivery points surveyed 
</t>
    </r>
    <r>
      <rPr>
        <b/>
        <sz val="10"/>
        <color theme="1"/>
        <rFont val="Calibri"/>
        <family val="2"/>
        <scheme val="minor"/>
      </rPr>
      <t xml:space="preserve">Proportion of service-delivery points that were unable to carry out microscopy due to stock-out/expiration of necessary material in the previous 6 months  (elimination settings)
Numerator: </t>
    </r>
    <r>
      <rPr>
        <sz val="10"/>
        <color theme="1"/>
        <rFont val="Calibri"/>
        <family val="2"/>
        <scheme val="minor"/>
      </rPr>
      <t xml:space="preserve">Number of  service-delivery points that experienced stock-outs of neccesary material required for microscopy in the  last 6 months
</t>
    </r>
    <r>
      <rPr>
        <b/>
        <sz val="10"/>
        <color theme="1"/>
        <rFont val="Calibri"/>
        <family val="2"/>
        <scheme val="minor"/>
      </rPr>
      <t xml:space="preserve">Denominator: </t>
    </r>
    <r>
      <rPr>
        <sz val="10"/>
        <color theme="1"/>
        <rFont val="Calibri"/>
        <family val="2"/>
        <scheme val="minor"/>
      </rPr>
      <t xml:space="preserve">Total number of service-delivery points surveyed </t>
    </r>
  </si>
  <si>
    <t>A common unique identified exists and can be used to identify duplicate patients across service delivery points</t>
  </si>
  <si>
    <r>
      <rPr>
        <b/>
        <sz val="10"/>
        <color theme="1"/>
        <rFont val="Calibri"/>
        <family val="2"/>
        <scheme val="minor"/>
      </rPr>
      <t xml:space="preserve">Proportion of expected content* included in current surveillance guidelines. </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 xml:space="preserve">Number of expected content found in guidelines
</t>
    </r>
    <r>
      <rPr>
        <b/>
        <sz val="10"/>
        <color theme="1"/>
        <rFont val="Calibri"/>
        <family val="2"/>
        <scheme val="minor"/>
      </rPr>
      <t>Denominator:</t>
    </r>
    <r>
      <rPr>
        <sz val="10"/>
        <color theme="1"/>
        <rFont val="Calibri"/>
        <family val="2"/>
        <scheme val="minor"/>
      </rPr>
      <t xml:space="preserve"> Total number of expected content 
* The minimum expected content of malaria surveillance guidelines are defined in detail in the Desk Review Template and include: 
- Document includes malaria case/data definitions in-line with WHO recommendation 
- Document includes procedural guidelines for data recording, reporting/ transmission, data storage, management, quality assurance, analysis, and dissemination and use of data
- Document includes a data security statement (i.e. all service-delivery points are regulated to protect the confidentiality of all surveillance data e.g. records, registers)
- Document includes consequences for non-compliance with surveillance regulations (elimination settings only)
-Document includes that all at-risk populations are covered by passive or proactive surveillance for malaria and high-risk populations are routinely reviewed to ensure they are adequately covered by surveillance (elimination settings only)
-Document includes that case investigations are undertaken to determine the likely place of infection(elimination settings only)
-Document includes that if the case was acquired locally, the location of infection (household or place of work) is geolocated (elimination settings only)
</t>
    </r>
    <r>
      <rPr>
        <sz val="10"/>
        <rFont val="Calibri"/>
        <family val="2"/>
        <scheme val="minor"/>
      </rPr>
      <t xml:space="preserve">-Document includes that additional investigations are conducted to support the classification of introduced cases when no imported case can be linked directly to the introduced case (elimination settings only)
-Document includes SOPs to investigate and respond to malaria outbreaks are included in the country’s outbreak response system(elimination settings only)
-Document includes that country should report all malaria cases annually to WHO(elimination settings only)
</t>
    </r>
  </si>
  <si>
    <t xml:space="preserve">Recording forms/tools capture malaria variables </t>
  </si>
  <si>
    <t>Reporting tools transmit malaria variables</t>
  </si>
  <si>
    <t>Expected outputs include malaria indicators</t>
  </si>
  <si>
    <r>
      <rPr>
        <b/>
        <sz val="10"/>
        <rFont val="Calibri"/>
        <family val="2"/>
        <scheme val="minor"/>
      </rPr>
      <t>List and describe information systems into which malaria variables are routinely reported (consider all sectors and strategies)</t>
    </r>
    <r>
      <rPr>
        <sz val="10"/>
        <rFont val="Calibri"/>
        <family val="2"/>
        <scheme val="minor"/>
      </rPr>
      <t xml:space="preserve">
</t>
    </r>
    <r>
      <rPr>
        <b/>
        <sz val="10"/>
        <rFont val="Calibri"/>
        <family val="2"/>
        <scheme val="minor"/>
      </rPr>
      <t>Question format:</t>
    </r>
    <r>
      <rPr>
        <sz val="10"/>
        <rFont val="Calibri"/>
        <family val="2"/>
        <scheme val="minor"/>
      </rPr>
      <t xml:space="preserve"> List all information systems that contain malaria data?</t>
    </r>
  </si>
  <si>
    <r>
      <rPr>
        <b/>
        <sz val="10"/>
        <color theme="1"/>
        <rFont val="Calibri"/>
        <family val="2"/>
        <scheme val="minor"/>
      </rPr>
      <t>Number of recording forms/tools used to record or collect malaria variables by the community/health facility</t>
    </r>
    <r>
      <rPr>
        <sz val="10"/>
        <color theme="1"/>
        <rFont val="Calibri"/>
        <family val="2"/>
        <scheme val="minor"/>
      </rPr>
      <t xml:space="preserve">
</t>
    </r>
    <r>
      <rPr>
        <b/>
        <sz val="10"/>
        <color theme="1"/>
        <rFont val="Calibri"/>
        <family val="2"/>
        <scheme val="minor"/>
      </rPr>
      <t xml:space="preserve">Question format: </t>
    </r>
    <r>
      <rPr>
        <sz val="10"/>
        <color theme="1"/>
        <rFont val="Calibri"/>
        <family val="2"/>
        <scheme val="minor"/>
      </rPr>
      <t xml:space="preserve">How many recording tools are used to record or collect the malaria variables?
</t>
    </r>
    <r>
      <rPr>
        <i/>
        <sz val="10"/>
        <color theme="1"/>
        <rFont val="Calibri"/>
        <family val="2"/>
        <scheme val="minor"/>
      </rPr>
      <t xml:space="preserve">
A complete list of malaria variables are defined in the Desk Review Template</t>
    </r>
  </si>
  <si>
    <r>
      <rPr>
        <b/>
        <sz val="10"/>
        <color theme="1"/>
        <rFont val="Calibri"/>
        <family val="2"/>
        <scheme val="minor"/>
      </rPr>
      <t>Proportion of malaria variables that are included in recording forms/tools</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Malaria variables included in recording forms/tools (e.g. for case surveillance- OPD/IPD, other patient register book, or other reporting form)  
</t>
    </r>
    <r>
      <rPr>
        <b/>
        <sz val="10"/>
        <color theme="1"/>
        <rFont val="Calibri"/>
        <family val="2"/>
        <scheme val="minor"/>
      </rPr>
      <t xml:space="preserve">Denominator: </t>
    </r>
    <r>
      <rPr>
        <sz val="10"/>
        <color theme="1"/>
        <rFont val="Calibri"/>
        <family val="2"/>
        <scheme val="minor"/>
      </rPr>
      <t xml:space="preserve">Total malariavariables  recommended in the national guidelines for a given surveillance strategy
</t>
    </r>
    <r>
      <rPr>
        <i/>
        <sz val="10"/>
        <color theme="1"/>
        <rFont val="Calibri"/>
        <family val="2"/>
        <scheme val="minor"/>
      </rPr>
      <t>A complete list of malaria  variables are defined in the Desk Review</t>
    </r>
    <r>
      <rPr>
        <i/>
        <sz val="10"/>
        <rFont val="Calibri"/>
        <family val="2"/>
        <scheme val="minor"/>
      </rPr>
      <t xml:space="preserve"> Template.</t>
    </r>
    <r>
      <rPr>
        <i/>
        <sz val="10"/>
        <color rgb="FFFF0000"/>
        <rFont val="Calibri"/>
        <family val="2"/>
        <scheme val="minor"/>
      </rPr>
      <t xml:space="preserve"> </t>
    </r>
    <r>
      <rPr>
        <i/>
        <sz val="10"/>
        <color theme="1"/>
        <rFont val="Calibri"/>
        <family val="2"/>
        <scheme val="minor"/>
      </rPr>
      <t>In elimination settings data on proactive and reactive case detection should be collected separately and data should be captured electronically.</t>
    </r>
    <r>
      <rPr>
        <i/>
        <sz val="10"/>
        <color rgb="FFFF0000"/>
        <rFont val="Calibri"/>
        <family val="2"/>
        <scheme val="minor"/>
      </rPr>
      <t xml:space="preserve">
</t>
    </r>
  </si>
  <si>
    <r>
      <rPr>
        <b/>
        <sz val="10"/>
        <color theme="1"/>
        <rFont val="Calibri"/>
        <family val="2"/>
        <scheme val="minor"/>
      </rPr>
      <t>Number of reporting tools used to report or transmit malaria variables by the community/health facility/district</t>
    </r>
    <r>
      <rPr>
        <sz val="10"/>
        <color theme="1"/>
        <rFont val="Calibri"/>
        <family val="2"/>
        <scheme val="minor"/>
      </rPr>
      <t xml:space="preserve">
</t>
    </r>
    <r>
      <rPr>
        <b/>
        <sz val="10"/>
        <color theme="1"/>
        <rFont val="Calibri"/>
        <family val="2"/>
        <scheme val="minor"/>
      </rPr>
      <t xml:space="preserve">Question format: </t>
    </r>
    <r>
      <rPr>
        <sz val="10"/>
        <color theme="1"/>
        <rFont val="Calibri"/>
        <family val="2"/>
        <scheme val="minor"/>
      </rPr>
      <t xml:space="preserve">How many reporting tools are used to report or transmit the malaria variables defined in the Desk Review Template?
</t>
    </r>
    <r>
      <rPr>
        <i/>
        <sz val="10"/>
        <color theme="1"/>
        <rFont val="Calibri"/>
        <family val="2"/>
        <scheme val="minor"/>
      </rPr>
      <t xml:space="preserve">
A complete list of malaria  variables are defined in the Desk Review Template
</t>
    </r>
  </si>
  <si>
    <r>
      <rPr>
        <b/>
        <sz val="10"/>
        <color theme="1"/>
        <rFont val="Calibri"/>
        <family val="2"/>
        <scheme val="minor"/>
      </rPr>
      <t>Proportion of malaria variables that are included in reporting forms/tools</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Malaria variables included in recording tool (e.g. for case surveillance- OPD/IPD, other patient register book, or other reporting form)  
</t>
    </r>
    <r>
      <rPr>
        <b/>
        <sz val="10"/>
        <color theme="1"/>
        <rFont val="Calibri"/>
        <family val="2"/>
        <scheme val="minor"/>
      </rPr>
      <t xml:space="preserve">Denominator: </t>
    </r>
    <r>
      <rPr>
        <sz val="10"/>
        <color theme="1"/>
        <rFont val="Calibri"/>
        <family val="2"/>
        <scheme val="minor"/>
      </rPr>
      <t xml:space="preserve"> Total malaria variables recommended recommended in the national guidelines for a given surveillance strategy
</t>
    </r>
    <r>
      <rPr>
        <i/>
        <sz val="10"/>
        <color theme="1"/>
        <rFont val="Calibri"/>
        <family val="2"/>
        <scheme val="minor"/>
      </rPr>
      <t xml:space="preserve">
A complete list of malaria-relevant variables are defined in the Desk Review Template
In elimination settings case based data should be transmitted to district and national levels</t>
    </r>
  </si>
  <si>
    <r>
      <rPr>
        <b/>
        <sz val="10"/>
        <color theme="1"/>
        <rFont val="Calibri"/>
        <family val="2"/>
        <scheme val="minor"/>
      </rPr>
      <t>Proportion of malaria  indicators that are included in routine expected outputs</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Indicators included in expected outputs 
</t>
    </r>
    <r>
      <rPr>
        <b/>
        <sz val="10"/>
        <color theme="1"/>
        <rFont val="Calibri"/>
        <family val="2"/>
        <scheme val="minor"/>
      </rPr>
      <t xml:space="preserve">Denominator: </t>
    </r>
    <r>
      <rPr>
        <sz val="10"/>
        <color theme="1"/>
        <rFont val="Calibri"/>
        <family val="2"/>
        <scheme val="minor"/>
      </rPr>
      <t xml:space="preserve">Total number of indicators recommended for the given surveillance strategy
</t>
    </r>
    <r>
      <rPr>
        <i/>
        <sz val="10"/>
        <color theme="1"/>
        <rFont val="Calibri"/>
        <family val="2"/>
        <scheme val="minor"/>
      </rPr>
      <t>A complete list of malaria indicators are defined in the Desk Review Template</t>
    </r>
    <r>
      <rPr>
        <sz val="10"/>
        <color theme="1"/>
        <rFont val="Calibri"/>
        <family val="2"/>
        <scheme val="minor"/>
      </rPr>
      <t xml:space="preserve">
</t>
    </r>
  </si>
  <si>
    <t>Standardized reporting tools</t>
  </si>
  <si>
    <t>Standardized recording forms/tools</t>
  </si>
  <si>
    <t>Therapeutic Efficacy Studies (TES)/ Integrated Drug Efficacy Study (iDES)  have been carried out to monitor drug resistance</t>
  </si>
  <si>
    <r>
      <rPr>
        <b/>
        <sz val="10"/>
        <rFont val="Calibri"/>
        <family val="2"/>
        <scheme val="minor"/>
      </rPr>
      <t>Proportion of expected data quality assurance procedures* in place</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expected quality assurance procedures in place and active
</t>
    </r>
    <r>
      <rPr>
        <b/>
        <sz val="10"/>
        <rFont val="Calibri"/>
        <family val="2"/>
        <scheme val="minor"/>
      </rPr>
      <t>Denominator:</t>
    </r>
    <r>
      <rPr>
        <sz val="10"/>
        <rFont val="Calibri"/>
        <family val="2"/>
        <scheme val="minor"/>
      </rPr>
      <t xml:space="preserve"> Total number of expected quality assurance procedures
Expected quality assurance procedures are
1 Data cleaning 
2 Data review meetings
3 Data quality assessments (routine or part of supervision)
4 Monitoring of data quality indicators
</t>
    </r>
  </si>
  <si>
    <r>
      <rPr>
        <b/>
        <sz val="10"/>
        <color theme="1"/>
        <rFont val="Calibri"/>
        <family val="2"/>
        <scheme val="minor"/>
      </rPr>
      <t xml:space="preserve">Proportion of the population that are symptomatic (fever) who seek care (note: this may include care from community health workers). </t>
    </r>
    <r>
      <rPr>
        <sz val="10"/>
        <color theme="1"/>
        <rFont val="Calibri"/>
        <family val="2"/>
        <scheme val="minor"/>
      </rPr>
      <t xml:space="preserve">
</t>
    </r>
    <r>
      <rPr>
        <b/>
        <sz val="10"/>
        <color theme="1"/>
        <rFont val="Calibri"/>
        <family val="2"/>
        <scheme val="minor"/>
      </rPr>
      <t>Numerator:</t>
    </r>
    <r>
      <rPr>
        <sz val="10"/>
        <color theme="1"/>
        <rFont val="Calibri"/>
        <family val="2"/>
        <scheme val="minor"/>
      </rPr>
      <t xml:space="preserve"> Fevers who sought treatment</t>
    </r>
    <r>
      <rPr>
        <b/>
        <sz val="10"/>
        <color theme="1"/>
        <rFont val="Calibri"/>
        <family val="2"/>
        <scheme val="minor"/>
      </rPr>
      <t xml:space="preserve">
Denominator:</t>
    </r>
    <r>
      <rPr>
        <sz val="10"/>
        <color theme="1"/>
        <rFont val="Calibri"/>
        <family val="2"/>
        <scheme val="minor"/>
      </rPr>
      <t xml:space="preserve"> Number of people with a fever (in the last two weeks or other)
</t>
    </r>
    <r>
      <rPr>
        <i/>
        <sz val="10"/>
        <color theme="1"/>
        <rFont val="Calibri"/>
        <family val="2"/>
        <scheme val="minor"/>
      </rPr>
      <t xml:space="preserve">
This can be estimated by proportion of children &lt; 5 years with fever in the previous 2 weeks for whom advice or treatment was sought from DHS or MIS survey.</t>
    </r>
    <r>
      <rPr>
        <i/>
        <sz val="10"/>
        <rFont val="Calibri"/>
        <family val="2"/>
        <scheme val="minor"/>
      </rPr>
      <t xml:space="preserve"> If DHS or MIS are not available, as is the case in many elimination settings, then this indicator cannot be assessed and should not be included. </t>
    </r>
    <r>
      <rPr>
        <sz val="10"/>
        <color theme="1"/>
        <rFont val="Calibri"/>
        <family val="2"/>
        <scheme val="minor"/>
      </rPr>
      <t xml:space="preserve">
</t>
    </r>
  </si>
  <si>
    <r>
      <rPr>
        <b/>
        <sz val="10"/>
        <color theme="1"/>
        <rFont val="Calibri"/>
        <family val="2"/>
        <scheme val="minor"/>
      </rPr>
      <t>Proportion of service-delivery points included in the system that report routinely (e.g. for &gt;80% of the months in 1 year)</t>
    </r>
    <r>
      <rPr>
        <sz val="10"/>
        <color theme="1"/>
        <rFont val="Calibri"/>
        <family val="2"/>
        <scheme val="minor"/>
      </rPr>
      <t xml:space="preserve">
</t>
    </r>
    <r>
      <rPr>
        <b/>
        <sz val="10"/>
        <color theme="1"/>
        <rFont val="Calibri"/>
        <family val="2"/>
        <scheme val="minor"/>
      </rPr>
      <t xml:space="preserve">Numerator: </t>
    </r>
    <r>
      <rPr>
        <sz val="10"/>
        <color theme="1"/>
        <rFont val="Calibri"/>
        <family val="2"/>
        <scheme val="minor"/>
      </rPr>
      <t>Number of points of care that routinely report*</t>
    </r>
    <r>
      <rPr>
        <b/>
        <sz val="10"/>
        <color theme="1"/>
        <rFont val="Calibri"/>
        <family val="2"/>
        <scheme val="minor"/>
      </rPr>
      <t xml:space="preserve">
Denominator: </t>
    </r>
    <r>
      <rPr>
        <sz val="10"/>
        <color theme="1"/>
        <rFont val="Calibri"/>
        <family val="2"/>
        <scheme val="minor"/>
      </rPr>
      <t xml:space="preserve">Number of points of care included in the surveillance system (determined from the MFL or otherwise) OR number of points of care that have ever reported (and are still active)
</t>
    </r>
    <r>
      <rPr>
        <i/>
        <sz val="10"/>
        <rFont val="Calibri"/>
        <family val="2"/>
        <scheme val="minor"/>
      </rPr>
      <t>*Reporting includes zero cases (zero reporting)</t>
    </r>
  </si>
  <si>
    <r>
      <rPr>
        <b/>
        <sz val="10"/>
        <rFont val="Calibri"/>
        <family val="2"/>
        <scheme val="minor"/>
      </rPr>
      <t>Proportion of investigated foci which are classified in the previous year</t>
    </r>
    <r>
      <rPr>
        <sz val="10"/>
        <rFont val="Calibri"/>
        <family val="2"/>
        <scheme val="minor"/>
      </rPr>
      <t xml:space="preserve">
</t>
    </r>
    <r>
      <rPr>
        <b/>
        <sz val="10"/>
        <rFont val="Calibri"/>
        <family val="2"/>
        <scheme val="minor"/>
      </rPr>
      <t xml:space="preserve">Numerator: </t>
    </r>
    <r>
      <rPr>
        <sz val="10"/>
        <rFont val="Calibri"/>
        <family val="2"/>
        <scheme val="minor"/>
      </rPr>
      <t xml:space="preserve">Number of foci classified in the previous year </t>
    </r>
    <r>
      <rPr>
        <b/>
        <sz val="10"/>
        <rFont val="Calibri"/>
        <family val="2"/>
        <scheme val="minor"/>
      </rPr>
      <t xml:space="preserve">
Denominator: </t>
    </r>
    <r>
      <rPr>
        <sz val="10"/>
        <rFont val="Calibri"/>
        <family val="2"/>
        <scheme val="minor"/>
      </rPr>
      <t>Number of foci investigated in the previous year</t>
    </r>
    <r>
      <rPr>
        <b/>
        <sz val="10"/>
        <rFont val="Calibri"/>
        <family val="2"/>
        <scheme val="minor"/>
      </rPr>
      <t xml:space="preserve">
</t>
    </r>
  </si>
  <si>
    <r>
      <rPr>
        <b/>
        <sz val="10"/>
        <rFont val="Calibri"/>
        <family val="2"/>
        <scheme val="minor"/>
      </rPr>
      <t>Proportion of confirmed cases that were investigated and classified correctly in the last year (last 12 months or previous calendar year)</t>
    </r>
    <r>
      <rPr>
        <sz val="10"/>
        <rFont val="Calibri"/>
        <family val="2"/>
        <scheme val="minor"/>
      </rPr>
      <t xml:space="preserve">
</t>
    </r>
    <r>
      <rPr>
        <b/>
        <sz val="10"/>
        <rFont val="Calibri"/>
        <family val="2"/>
        <scheme val="minor"/>
      </rPr>
      <t>Numerator:</t>
    </r>
    <r>
      <rPr>
        <sz val="10"/>
        <rFont val="Calibri"/>
        <family val="2"/>
        <scheme val="minor"/>
      </rPr>
      <t xml:space="preserve"> Number of  confirmed cases that were investigated and classified correctly in the last year
</t>
    </r>
    <r>
      <rPr>
        <b/>
        <sz val="10"/>
        <rFont val="Calibri"/>
        <family val="2"/>
        <scheme val="minor"/>
      </rPr>
      <t>Denominator:</t>
    </r>
    <r>
      <rPr>
        <sz val="10"/>
        <rFont val="Calibri"/>
        <family val="2"/>
        <scheme val="minor"/>
      </rPr>
      <t xml:space="preserve"> Number of investigated cases
</t>
    </r>
  </si>
  <si>
    <t>Vector control: Larval source management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</si>
</sst>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_);_(&quot;$&quot;* \(#,##0.00\);_(&quot;$&quot;* &quot;-&quot;??_);_(@_)"/>
    <numFmt numFmtId="165" formatCode="0.0"/>
  </numFmts>
  <fonts count="52" x14ac:knownFonts="1">
    <font>
      <sz val="10"/>
      <color rgb="FF00000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Calibri"/>
      <family val="2"/>
      <scheme val="minor"/>
    </font>
    <font>
      <sz val="10"/>
      <color theme="1"/>
      <name val="Calibri"/>
      <family val="2"/>
      <scheme val="minor"/>
    </font>
    <font>
      <sz val="10"/>
      <name val="Calibri"/>
      <family val="2"/>
      <scheme val="minor"/>
    </font>
    <font>
      <sz val="10"/>
      <color rgb="FFFF0000"/>
      <name val="Calibri"/>
      <family val="2"/>
      <scheme val="minor"/>
    </font>
    <font>
      <sz val="10"/>
      <color rgb="FF000000"/>
      <name val="Arial"/>
      <family val="2"/>
    </font>
    <font>
      <u/>
      <sz val="11"/>
      <color theme="10"/>
      <name val="Calibri"/>
      <family val="2"/>
      <scheme val="minor"/>
    </font>
    <font>
      <b/>
      <sz val="10"/>
      <name val="Calibri"/>
      <family val="2"/>
      <scheme val="minor"/>
    </font>
    <font>
      <b/>
      <sz val="11"/>
      <color rgb="FF3F3F3F"/>
      <name val="Calibri"/>
      <family val="2"/>
      <scheme val="minor"/>
    </font>
    <font>
      <sz val="11"/>
      <color rgb="FFFF0000"/>
      <name val="Calibri"/>
      <family val="2"/>
      <scheme val="minor"/>
    </font>
    <font>
      <b/>
      <sz val="10"/>
      <color rgb="FF000000"/>
      <name val="Calibri"/>
      <family val="2"/>
      <scheme val="minor"/>
    </font>
    <font>
      <b/>
      <i/>
      <sz val="10"/>
      <name val="Calibri"/>
      <family val="2"/>
      <scheme val="minor"/>
    </font>
    <font>
      <b/>
      <sz val="10"/>
      <color rgb="FFFFFFFF"/>
      <name val="Calibri"/>
      <family val="2"/>
      <scheme val="minor"/>
    </font>
    <font>
      <b/>
      <sz val="10"/>
      <color theme="1"/>
      <name val="Calibri"/>
      <family val="2"/>
      <scheme val="minor"/>
    </font>
    <font>
      <strike/>
      <sz val="10"/>
      <name val="Calibri"/>
      <family val="2"/>
      <scheme val="minor"/>
    </font>
    <font>
      <strike/>
      <sz val="10"/>
      <color rgb="FF000000"/>
      <name val="Calibri"/>
      <family val="2"/>
      <scheme val="minor"/>
    </font>
    <font>
      <b/>
      <sz val="10"/>
      <color rgb="FFFF0000"/>
      <name val="Calibri"/>
      <family val="2"/>
      <scheme val="minor"/>
    </font>
    <font>
      <i/>
      <sz val="10"/>
      <name val="Calibri"/>
      <family val="2"/>
      <scheme val="minor"/>
    </font>
    <font>
      <b/>
      <sz val="14"/>
      <color rgb="FFFFFFFF"/>
      <name val="Calibri"/>
      <family val="2"/>
      <scheme val="minor"/>
    </font>
    <font>
      <sz val="14"/>
      <color rgb="FF000000"/>
      <name val="Calibri"/>
      <family val="2"/>
      <scheme val="minor"/>
    </font>
    <font>
      <b/>
      <sz val="14"/>
      <color theme="1"/>
      <name val="Calibri"/>
      <family val="2"/>
      <scheme val="minor"/>
    </font>
    <font>
      <b/>
      <sz val="14"/>
      <name val="Calibri"/>
      <family val="2"/>
      <scheme val="minor"/>
    </font>
    <font>
      <i/>
      <sz val="10"/>
      <color theme="1"/>
      <name val="Calibri"/>
      <family val="2"/>
      <scheme val="minor"/>
    </font>
    <font>
      <sz val="8"/>
      <name val="Arial"/>
      <family val="2"/>
    </font>
    <font>
      <sz val="12"/>
      <color rgb="FF000000"/>
      <name val="Calibri"/>
      <family val="2"/>
      <scheme val="minor"/>
    </font>
    <font>
      <u/>
      <sz val="10"/>
      <color theme="10"/>
      <name val="Arial"/>
      <family val="2"/>
    </font>
    <font>
      <b/>
      <sz val="8"/>
      <name val="Calibri"/>
      <family val="2"/>
      <scheme val="minor"/>
    </font>
    <font>
      <sz val="10"/>
      <color rgb="FF000000"/>
      <name val="Arial"/>
      <family val="2"/>
    </font>
    <font>
      <b/>
      <sz val="14"/>
      <color theme="0"/>
      <name val="Calibri"/>
      <family val="2"/>
      <scheme val="minor"/>
    </font>
    <font>
      <b/>
      <sz val="9"/>
      <name val="Calibri"/>
      <family val="2"/>
      <scheme val="minor"/>
    </font>
    <font>
      <b/>
      <i/>
      <sz val="10"/>
      <color theme="1"/>
      <name val="Calibri"/>
      <family val="2"/>
      <scheme val="minor"/>
    </font>
    <font>
      <sz val="14"/>
      <color rgb="FFFF0000"/>
      <name val="Calibri"/>
      <family val="2"/>
      <scheme val="minor"/>
    </font>
    <font>
      <sz val="10"/>
      <name val="Calibri"/>
      <family val="2"/>
    </font>
    <font>
      <b/>
      <sz val="10"/>
      <name val="Calibri"/>
      <family val="2"/>
    </font>
    <font>
      <i/>
      <sz val="10"/>
      <name val="Calibri"/>
      <family val="2"/>
    </font>
    <font>
      <i/>
      <sz val="10"/>
      <color rgb="FFFF0000"/>
      <name val="Calibri"/>
      <family val="2"/>
      <scheme val="minor"/>
    </font>
    <font>
      <sz val="11"/>
      <color rgb="FF000000"/>
      <name val="Calibri Light"/>
      <family val="2"/>
    </font>
    <font>
      <sz val="10"/>
      <color theme="0"/>
      <name val="Arial"/>
      <family val="2"/>
    </font>
    <font>
      <sz val="10"/>
      <color rgb="FF000000"/>
      <name val="Calibri"/>
      <family val="2"/>
    </font>
    <font>
      <b/>
      <sz val="10"/>
      <color rgb="FF000000"/>
      <name val="Calibri"/>
      <family val="2"/>
    </font>
    <font>
      <b/>
      <u/>
      <sz val="10"/>
      <color theme="1"/>
      <name val="Calibri"/>
      <family val="2"/>
      <scheme val="minor"/>
    </font>
    <font>
      <sz val="10"/>
      <color theme="0"/>
      <name val="Calibri"/>
      <family val="2"/>
      <scheme val="minor"/>
    </font>
    <font>
      <b/>
      <sz val="12"/>
      <name val="Calibri"/>
      <family val="2"/>
      <scheme val="minor"/>
    </font>
    <font>
      <sz val="11"/>
      <color rgb="FF000000"/>
      <name val="Calibri"/>
      <family val="2"/>
      <scheme val="minor"/>
    </font>
    <font>
      <sz val="12"/>
      <color theme="0"/>
      <name val="Calibri"/>
      <family val="2"/>
      <scheme val="minor"/>
    </font>
    <font>
      <sz val="11"/>
      <name val="Calibri"/>
      <family val="2"/>
      <scheme val="minor"/>
    </font>
    <font>
      <b/>
      <sz val="14"/>
      <color rgb="FFFF0000"/>
      <name val="Calibri"/>
      <family val="2"/>
      <scheme val="minor"/>
    </font>
  </fonts>
  <fills count="14">
    <fill>
      <patternFill patternType="none"/>
    </fill>
    <fill>
      <patternFill patternType="gray125"/>
    </fill>
    <fill>
      <patternFill patternType="solid">
        <fgColor rgb="FFC00000"/>
        <bgColor indexed="64"/>
      </patternFill>
    </fill>
    <fill>
      <patternFill patternType="solid">
        <fgColor rgb="FF7030A0"/>
        <bgColor indexed="64"/>
      </patternFill>
    </fill>
    <fill>
      <patternFill patternType="solid">
        <fgColor rgb="FF4472C4"/>
        <bgColor indexed="64"/>
      </patternFill>
    </fill>
    <fill>
      <patternFill patternType="solid">
        <fgColor rgb="FF54823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2F2F2"/>
      </patternFill>
    </fill>
    <fill>
      <patternFill patternType="solid">
        <fgColor theme="0"/>
        <bgColor indexed="64"/>
      </patternFill>
    </fill>
    <fill>
      <patternFill patternType="solid">
        <fgColor rgb="FFFFE7E7"/>
        <bgColor indexed="64"/>
      </patternFill>
    </fill>
    <fill>
      <patternFill patternType="solid">
        <fgColor rgb="FFE1CCF0"/>
        <bgColor indexed="64"/>
      </patternFill>
    </fill>
    <fill>
      <patternFill patternType="solid">
        <fgColor theme="7" tint="0.79998168889431442"/>
        <bgColor indexed="64"/>
      </patternFill>
    </fill>
    <fill>
      <patternFill patternType="solid">
        <fgColor rgb="FFFFFF00"/>
        <bgColor indexed="64"/>
      </patternFill>
    </fill>
  </fills>
  <borders count="29">
    <border>
      <left/>
      <right/>
      <top/>
      <bottom/>
      <diagonal/>
    </border>
    <border>
      <left style="thin">
        <color rgb="FF3F3F3F"/>
      </left>
      <right style="thin">
        <color rgb="FF3F3F3F"/>
      </right>
      <top style="thin">
        <color rgb="FF3F3F3F"/>
      </top>
      <bottom style="thin">
        <color rgb="FF3F3F3F"/>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auto="1"/>
      </top>
      <bottom style="thin">
        <color auto="1"/>
      </bottom>
      <diagonal/>
    </border>
    <border>
      <left/>
      <right style="medium">
        <color indexed="64"/>
      </right>
      <top/>
      <bottom style="thin">
        <color auto="1"/>
      </bottom>
      <diagonal/>
    </border>
    <border>
      <left style="medium">
        <color indexed="64"/>
      </left>
      <right/>
      <top/>
      <bottom/>
      <diagonal/>
    </border>
    <border>
      <left/>
      <right/>
      <top style="thin">
        <color auto="1"/>
      </top>
      <bottom style="medium">
        <color indexed="64"/>
      </bottom>
      <diagonal/>
    </border>
    <border>
      <left/>
      <right/>
      <top/>
      <bottom style="medium">
        <color indexed="64"/>
      </bottom>
      <diagonal/>
    </border>
    <border>
      <left/>
      <right style="medium">
        <color indexed="64"/>
      </right>
      <top style="thin">
        <color auto="1"/>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medium">
        <color indexed="64"/>
      </left>
      <right/>
      <top style="thin">
        <color auto="1"/>
      </top>
      <bottom style="medium">
        <color indexed="64"/>
      </bottom>
      <diagonal/>
    </border>
  </borders>
  <cellStyleXfs count="12">
    <xf numFmtId="0" fontId="0" fillId="0" borderId="0"/>
    <xf numFmtId="0" fontId="5" fillId="0" borderId="0"/>
    <xf numFmtId="0" fontId="4" fillId="0" borderId="0"/>
    <xf numFmtId="0" fontId="10" fillId="0" borderId="0"/>
    <xf numFmtId="0" fontId="3" fillId="0" borderId="0"/>
    <xf numFmtId="0" fontId="2" fillId="0" borderId="0"/>
    <xf numFmtId="0" fontId="11" fillId="0" borderId="0" applyNumberFormat="0" applyFill="0" applyBorder="0" applyAlignment="0" applyProtection="0"/>
    <xf numFmtId="0" fontId="1" fillId="0" borderId="0"/>
    <xf numFmtId="0" fontId="13" fillId="8" borderId="1" applyNumberFormat="0" applyAlignment="0" applyProtection="0"/>
    <xf numFmtId="0" fontId="14" fillId="0" borderId="0" applyNumberFormat="0" applyFill="0" applyBorder="0" applyAlignment="0" applyProtection="0"/>
    <xf numFmtId="0" fontId="30" fillId="0" borderId="0" applyNumberFormat="0" applyFill="0" applyBorder="0" applyAlignment="0" applyProtection="0"/>
    <xf numFmtId="164" fontId="32" fillId="0" borderId="0" applyFont="0" applyFill="0" applyBorder="0" applyAlignment="0" applyProtection="0"/>
  </cellStyleXfs>
  <cellXfs count="320">
    <xf numFmtId="0" fontId="0" fillId="0" borderId="0" xfId="0" applyFont="1" applyAlignment="1"/>
    <xf numFmtId="0" fontId="6" fillId="0" borderId="0" xfId="3" applyFont="1" applyFill="1" applyBorder="1" applyAlignment="1">
      <alignment vertical="top"/>
    </xf>
    <xf numFmtId="0" fontId="6" fillId="0" borderId="0" xfId="3" applyFont="1" applyFill="1" applyBorder="1" applyAlignment="1">
      <alignment horizontal="left" vertical="top"/>
    </xf>
    <xf numFmtId="0" fontId="24" fillId="0" borderId="0" xfId="3" applyFont="1" applyFill="1" applyBorder="1" applyAlignment="1">
      <alignment horizontal="left" vertical="top"/>
    </xf>
    <xf numFmtId="0" fontId="26" fillId="7" borderId="3" xfId="7" applyFont="1" applyFill="1" applyBorder="1" applyAlignment="1">
      <alignment horizontal="left" vertical="top"/>
    </xf>
    <xf numFmtId="0" fontId="7" fillId="0" borderId="0" xfId="0" applyFont="1" applyFill="1" applyBorder="1" applyAlignment="1">
      <alignment horizontal="left" vertical="top"/>
    </xf>
    <xf numFmtId="0" fontId="12" fillId="0" borderId="0" xfId="3" applyFont="1" applyFill="1" applyBorder="1" applyAlignment="1">
      <alignment horizontal="left" vertical="top"/>
    </xf>
    <xf numFmtId="0" fontId="29" fillId="0" borderId="0" xfId="3" applyFont="1" applyFill="1" applyBorder="1" applyAlignment="1">
      <alignment horizontal="left" vertical="top"/>
    </xf>
    <xf numFmtId="0" fontId="17" fillId="4" borderId="3" xfId="3" applyFont="1" applyFill="1" applyBorder="1" applyAlignment="1">
      <alignment horizontal="left" vertical="top" wrapText="1"/>
    </xf>
    <xf numFmtId="0" fontId="17" fillId="5" borderId="3" xfId="3" applyFont="1" applyFill="1" applyBorder="1" applyAlignment="1">
      <alignment horizontal="left" vertical="top" wrapText="1"/>
    </xf>
    <xf numFmtId="0" fontId="17" fillId="2" borderId="3" xfId="3" applyFont="1" applyFill="1" applyBorder="1" applyAlignment="1">
      <alignment horizontal="left" vertical="top" wrapText="1"/>
    </xf>
    <xf numFmtId="0" fontId="26" fillId="6" borderId="3" xfId="7" applyFont="1" applyFill="1" applyBorder="1" applyAlignment="1">
      <alignment horizontal="left" vertical="top"/>
    </xf>
    <xf numFmtId="0" fontId="26" fillId="11" borderId="3" xfId="7" applyFont="1" applyFill="1" applyBorder="1" applyAlignment="1">
      <alignment horizontal="left" vertical="top"/>
    </xf>
    <xf numFmtId="0" fontId="26" fillId="10" borderId="3" xfId="7" applyFont="1" applyFill="1" applyBorder="1" applyAlignment="1">
      <alignment horizontal="left" vertical="top"/>
    </xf>
    <xf numFmtId="0" fontId="25" fillId="6" borderId="3" xfId="7" applyFont="1" applyFill="1" applyBorder="1" applyAlignment="1">
      <alignment horizontal="left" vertical="top" wrapText="1"/>
    </xf>
    <xf numFmtId="0" fontId="26" fillId="4" borderId="3" xfId="3" applyFont="1" applyFill="1" applyBorder="1" applyAlignment="1">
      <alignment horizontal="center" vertical="top"/>
    </xf>
    <xf numFmtId="0" fontId="26" fillId="6" borderId="3" xfId="7" applyFont="1" applyFill="1" applyBorder="1" applyAlignment="1">
      <alignment horizontal="center" vertical="top"/>
    </xf>
    <xf numFmtId="0" fontId="12" fillId="6" borderId="3" xfId="7" applyFont="1" applyFill="1" applyBorder="1" applyAlignment="1">
      <alignment horizontal="center" vertical="top"/>
    </xf>
    <xf numFmtId="0" fontId="17" fillId="4" borderId="3" xfId="3" applyFont="1" applyFill="1" applyBorder="1" applyAlignment="1">
      <alignment horizontal="center" vertical="top"/>
    </xf>
    <xf numFmtId="0" fontId="18" fillId="6" borderId="3" xfId="7" applyFont="1" applyFill="1" applyBorder="1" applyAlignment="1">
      <alignment horizontal="center" vertical="top"/>
    </xf>
    <xf numFmtId="0" fontId="17" fillId="5" borderId="3" xfId="3" applyFont="1" applyFill="1" applyBorder="1" applyAlignment="1">
      <alignment horizontal="center" vertical="top"/>
    </xf>
    <xf numFmtId="0" fontId="12" fillId="7" borderId="3" xfId="7" applyFont="1" applyFill="1" applyBorder="1" applyAlignment="1">
      <alignment horizontal="center" vertical="top"/>
    </xf>
    <xf numFmtId="0" fontId="17" fillId="3" borderId="3" xfId="3" applyFont="1" applyFill="1" applyBorder="1" applyAlignment="1">
      <alignment horizontal="center" vertical="top"/>
    </xf>
    <xf numFmtId="0" fontId="17" fillId="2" borderId="3" xfId="3" applyFont="1" applyFill="1" applyBorder="1" applyAlignment="1">
      <alignment horizontal="center" vertical="top"/>
    </xf>
    <xf numFmtId="0" fontId="18" fillId="10" borderId="3" xfId="7" applyFont="1" applyFill="1" applyBorder="1" applyAlignment="1">
      <alignment horizontal="center" vertical="top"/>
    </xf>
    <xf numFmtId="0" fontId="15" fillId="9" borderId="3" xfId="3" applyFont="1" applyFill="1" applyBorder="1" applyAlignment="1">
      <alignment horizontal="left" vertical="top" wrapText="1"/>
    </xf>
    <xf numFmtId="0" fontId="12" fillId="5" borderId="3" xfId="3" applyFont="1" applyFill="1" applyBorder="1" applyAlignment="1">
      <alignment horizontal="center" vertical="top"/>
    </xf>
    <xf numFmtId="0" fontId="26" fillId="7" borderId="3" xfId="7" applyFont="1" applyFill="1" applyBorder="1" applyAlignment="1">
      <alignment horizontal="center" vertical="top"/>
    </xf>
    <xf numFmtId="0" fontId="12" fillId="3" borderId="3" xfId="3" applyFont="1" applyFill="1" applyBorder="1" applyAlignment="1">
      <alignment horizontal="center" vertical="top"/>
    </xf>
    <xf numFmtId="0" fontId="26" fillId="11" borderId="3" xfId="7" applyFont="1" applyFill="1" applyBorder="1" applyAlignment="1">
      <alignment horizontal="center" vertical="top"/>
    </xf>
    <xf numFmtId="0" fontId="12" fillId="2" borderId="3" xfId="3" applyFont="1" applyFill="1" applyBorder="1" applyAlignment="1">
      <alignment horizontal="center" vertical="top"/>
    </xf>
    <xf numFmtId="0" fontId="12" fillId="10" borderId="3" xfId="7" applyFont="1" applyFill="1" applyBorder="1" applyAlignment="1">
      <alignment horizontal="center" vertical="top"/>
    </xf>
    <xf numFmtId="0" fontId="26" fillId="10" borderId="3" xfId="7" applyFont="1" applyFill="1" applyBorder="1" applyAlignment="1">
      <alignment horizontal="center" vertical="top"/>
    </xf>
    <xf numFmtId="0" fontId="6" fillId="0" borderId="0" xfId="3" applyFont="1" applyFill="1" applyBorder="1" applyAlignment="1"/>
    <xf numFmtId="0" fontId="9" fillId="6" borderId="3" xfId="9" applyFont="1" applyFill="1" applyBorder="1" applyAlignment="1">
      <alignment horizontal="center" vertical="top"/>
    </xf>
    <xf numFmtId="0" fontId="18" fillId="7" borderId="3" xfId="7" applyFont="1" applyFill="1" applyBorder="1" applyAlignment="1">
      <alignment horizontal="center" vertical="top"/>
    </xf>
    <xf numFmtId="0" fontId="33" fillId="4" borderId="3" xfId="3" applyFont="1" applyFill="1" applyBorder="1" applyAlignment="1">
      <alignment horizontal="center" vertical="top"/>
    </xf>
    <xf numFmtId="0" fontId="33" fillId="5" borderId="3" xfId="3" applyFont="1" applyFill="1" applyBorder="1" applyAlignment="1">
      <alignment horizontal="left" vertical="top"/>
    </xf>
    <xf numFmtId="0" fontId="33" fillId="5" borderId="3" xfId="3" applyFont="1" applyFill="1" applyBorder="1" applyAlignment="1">
      <alignment horizontal="center" vertical="top"/>
    </xf>
    <xf numFmtId="0" fontId="33" fillId="3" borderId="3" xfId="3" applyFont="1" applyFill="1" applyBorder="1" applyAlignment="1">
      <alignment horizontal="center" vertical="top"/>
    </xf>
    <xf numFmtId="0" fontId="33" fillId="2" borderId="3" xfId="3" applyFont="1" applyFill="1" applyBorder="1" applyAlignment="1">
      <alignment horizontal="center" vertical="top"/>
    </xf>
    <xf numFmtId="0" fontId="33" fillId="2" borderId="3" xfId="3" applyFont="1" applyFill="1" applyBorder="1" applyAlignment="1">
      <alignment horizontal="left" vertical="top"/>
    </xf>
    <xf numFmtId="0" fontId="33" fillId="3" borderId="3" xfId="3" applyFont="1" applyFill="1" applyBorder="1" applyAlignment="1">
      <alignment horizontal="left" vertical="top"/>
    </xf>
    <xf numFmtId="0" fontId="21" fillId="3" borderId="3" xfId="3" applyFont="1" applyFill="1" applyBorder="1" applyAlignment="1">
      <alignment horizontal="left" vertical="top" wrapText="1"/>
    </xf>
    <xf numFmtId="0" fontId="25" fillId="10" borderId="3" xfId="7" applyFont="1" applyFill="1" applyBorder="1" applyAlignment="1">
      <alignment horizontal="center" vertical="top"/>
    </xf>
    <xf numFmtId="0" fontId="8" fillId="9" borderId="3" xfId="10" applyFont="1" applyFill="1" applyBorder="1" applyAlignment="1">
      <alignment horizontal="left" vertical="top" wrapText="1"/>
    </xf>
    <xf numFmtId="0" fontId="8" fillId="9" borderId="3" xfId="3" applyFont="1" applyFill="1" applyBorder="1" applyAlignment="1">
      <alignment horizontal="center" vertical="top" wrapText="1"/>
    </xf>
    <xf numFmtId="0" fontId="18" fillId="6" borderId="3" xfId="7" applyFont="1" applyFill="1" applyBorder="1" applyAlignment="1">
      <alignment horizontal="left" vertical="top" wrapText="1"/>
    </xf>
    <xf numFmtId="0" fontId="12" fillId="7" borderId="3" xfId="7" applyFont="1" applyFill="1" applyBorder="1" applyAlignment="1">
      <alignment horizontal="left" vertical="top" wrapText="1"/>
    </xf>
    <xf numFmtId="0" fontId="17" fillId="4" borderId="3" xfId="3" applyFont="1" applyFill="1" applyBorder="1" applyAlignment="1">
      <alignment horizontal="left" vertical="top" indent="2"/>
    </xf>
    <xf numFmtId="0" fontId="18" fillId="6" borderId="3" xfId="7" applyFont="1" applyFill="1" applyBorder="1" applyAlignment="1">
      <alignment horizontal="left" vertical="top" indent="2"/>
    </xf>
    <xf numFmtId="0" fontId="17" fillId="5" borderId="3" xfId="3" applyFont="1" applyFill="1" applyBorder="1" applyAlignment="1">
      <alignment horizontal="left" vertical="top" indent="2"/>
    </xf>
    <xf numFmtId="0" fontId="12" fillId="7" borderId="3" xfId="7" applyFont="1" applyFill="1" applyBorder="1" applyAlignment="1">
      <alignment horizontal="left" vertical="top" indent="2"/>
    </xf>
    <xf numFmtId="0" fontId="17" fillId="3" borderId="3" xfId="3" applyFont="1" applyFill="1" applyBorder="1" applyAlignment="1">
      <alignment horizontal="left" vertical="top" indent="2"/>
    </xf>
    <xf numFmtId="0" fontId="17" fillId="2" borderId="3" xfId="3" applyFont="1" applyFill="1" applyBorder="1" applyAlignment="1">
      <alignment horizontal="left" vertical="top" indent="2"/>
    </xf>
    <xf numFmtId="0" fontId="18" fillId="10" borderId="3" xfId="7" applyFont="1" applyFill="1" applyBorder="1" applyAlignment="1">
      <alignment horizontal="left" vertical="top" indent="2"/>
    </xf>
    <xf numFmtId="0" fontId="6" fillId="9" borderId="3" xfId="3" applyFont="1" applyFill="1" applyBorder="1" applyAlignment="1">
      <alignment horizontal="left" vertical="top" wrapText="1" indent="2"/>
    </xf>
    <xf numFmtId="0" fontId="17" fillId="4" borderId="3" xfId="3" applyFont="1" applyFill="1" applyBorder="1" applyAlignment="1">
      <alignment horizontal="left" vertical="top" wrapText="1" indent="2"/>
    </xf>
    <xf numFmtId="0" fontId="18" fillId="6" borderId="3" xfId="7" applyFont="1" applyFill="1" applyBorder="1" applyAlignment="1">
      <alignment horizontal="left" vertical="top" wrapText="1" indent="2"/>
    </xf>
    <xf numFmtId="0" fontId="17" fillId="5" borderId="3" xfId="3" applyFont="1" applyFill="1" applyBorder="1" applyAlignment="1">
      <alignment horizontal="left" vertical="top" wrapText="1" indent="2"/>
    </xf>
    <xf numFmtId="0" fontId="12" fillId="7" borderId="3" xfId="7" applyFont="1" applyFill="1" applyBorder="1" applyAlignment="1">
      <alignment horizontal="left" vertical="top" wrapText="1" indent="2"/>
    </xf>
    <xf numFmtId="0" fontId="17" fillId="3" borderId="3" xfId="3" applyFont="1" applyFill="1" applyBorder="1" applyAlignment="1">
      <alignment horizontal="left" vertical="top" wrapText="1" indent="2"/>
    </xf>
    <xf numFmtId="0" fontId="17" fillId="2" borderId="3" xfId="3" applyFont="1" applyFill="1" applyBorder="1" applyAlignment="1">
      <alignment horizontal="left" vertical="top" wrapText="1" indent="2"/>
    </xf>
    <xf numFmtId="0" fontId="18" fillId="10" borderId="3" xfId="7" applyFont="1" applyFill="1" applyBorder="1" applyAlignment="1">
      <alignment horizontal="left" vertical="top" wrapText="1" indent="2"/>
    </xf>
    <xf numFmtId="0" fontId="8" fillId="9" borderId="3" xfId="0" applyFont="1" applyFill="1" applyBorder="1" applyAlignment="1">
      <alignment horizontal="left" vertical="top" wrapText="1" indent="2"/>
    </xf>
    <xf numFmtId="0" fontId="25" fillId="11" borderId="3" xfId="7" applyFont="1" applyFill="1" applyBorder="1" applyAlignment="1">
      <alignment horizontal="center" vertical="top"/>
    </xf>
    <xf numFmtId="0" fontId="25" fillId="11" borderId="3" xfId="7" applyFont="1" applyFill="1" applyBorder="1" applyAlignment="1">
      <alignment horizontal="left" vertical="top" wrapText="1" indent="2"/>
    </xf>
    <xf numFmtId="0" fontId="25" fillId="11" borderId="3" xfId="7" applyFont="1" applyFill="1" applyBorder="1" applyAlignment="1">
      <alignment horizontal="left" vertical="top" wrapText="1"/>
    </xf>
    <xf numFmtId="0" fontId="23" fillId="4" borderId="3" xfId="3" applyFont="1" applyFill="1" applyBorder="1" applyAlignment="1">
      <alignment horizontal="left" vertical="top"/>
    </xf>
    <xf numFmtId="0" fontId="26" fillId="11" borderId="3" xfId="7" applyFont="1" applyFill="1" applyBorder="1" applyAlignment="1">
      <alignment horizontal="left" vertical="top" wrapText="1"/>
    </xf>
    <xf numFmtId="0" fontId="36" fillId="0" borderId="0" xfId="3" applyFont="1" applyFill="1" applyBorder="1" applyAlignment="1">
      <alignment horizontal="left" vertical="top"/>
    </xf>
    <xf numFmtId="0" fontId="26" fillId="11" borderId="3" xfId="7" applyFont="1" applyFill="1" applyBorder="1" applyAlignment="1">
      <alignment horizontal="left" vertical="top" wrapText="1" indent="2"/>
    </xf>
    <xf numFmtId="0" fontId="26" fillId="11" borderId="3" xfId="7" applyFont="1" applyFill="1" applyBorder="1" applyAlignment="1">
      <alignment horizontal="left" vertical="top" indent="2"/>
    </xf>
    <xf numFmtId="0" fontId="12" fillId="9" borderId="3" xfId="3" applyFont="1" applyFill="1" applyBorder="1" applyAlignment="1">
      <alignment horizontal="left" vertical="top" wrapText="1"/>
    </xf>
    <xf numFmtId="0" fontId="8" fillId="9" borderId="3" xfId="3" applyFont="1" applyFill="1" applyBorder="1" applyAlignment="1">
      <alignment horizontal="center" vertical="top"/>
    </xf>
    <xf numFmtId="0" fontId="12" fillId="9" borderId="3" xfId="7" applyFont="1" applyFill="1" applyBorder="1" applyAlignment="1">
      <alignment horizontal="left" vertical="top" wrapText="1"/>
    </xf>
    <xf numFmtId="0" fontId="37" fillId="9" borderId="3" xfId="0" applyFont="1" applyFill="1" applyBorder="1" applyAlignment="1">
      <alignment horizontal="left" vertical="top" wrapText="1"/>
    </xf>
    <xf numFmtId="0" fontId="8" fillId="9" borderId="3" xfId="3" applyFont="1" applyFill="1" applyBorder="1" applyAlignment="1">
      <alignment horizontal="left" vertical="top" indent="2"/>
    </xf>
    <xf numFmtId="0" fontId="8" fillId="9" borderId="3" xfId="7" applyFont="1" applyFill="1" applyBorder="1" applyAlignment="1">
      <alignment horizontal="left" vertical="top" wrapText="1" indent="2"/>
    </xf>
    <xf numFmtId="0" fontId="6" fillId="9" borderId="3" xfId="3" applyFont="1" applyFill="1" applyBorder="1" applyAlignment="1">
      <alignment horizontal="center" vertical="top"/>
    </xf>
    <xf numFmtId="0" fontId="18" fillId="9" borderId="3" xfId="3" applyFont="1" applyFill="1" applyBorder="1" applyAlignment="1">
      <alignment horizontal="left" vertical="top"/>
    </xf>
    <xf numFmtId="0" fontId="7" fillId="9" borderId="3" xfId="7" applyFont="1" applyFill="1" applyBorder="1" applyAlignment="1">
      <alignment horizontal="left" vertical="top" wrapText="1"/>
    </xf>
    <xf numFmtId="0" fontId="6" fillId="9" borderId="3" xfId="3" applyFont="1" applyFill="1" applyBorder="1" applyAlignment="1">
      <alignment horizontal="left" vertical="top" indent="2"/>
    </xf>
    <xf numFmtId="0" fontId="7" fillId="9" borderId="3" xfId="7" applyFont="1" applyFill="1" applyBorder="1" applyAlignment="1">
      <alignment horizontal="left" vertical="top" wrapText="1" indent="2"/>
    </xf>
    <xf numFmtId="0" fontId="26" fillId="0" borderId="0" xfId="3" applyFont="1"/>
    <xf numFmtId="0" fontId="8" fillId="0" borderId="0" xfId="3" applyFont="1"/>
    <xf numFmtId="0" fontId="6" fillId="0" borderId="0" xfId="3" applyFont="1"/>
    <xf numFmtId="0" fontId="6" fillId="0" borderId="0" xfId="3" applyFont="1" applyAlignment="1">
      <alignment horizontal="center"/>
    </xf>
    <xf numFmtId="0" fontId="18" fillId="0" borderId="0" xfId="3" applyFont="1" applyAlignment="1">
      <alignment horizontal="left" vertical="top" wrapText="1"/>
    </xf>
    <xf numFmtId="0" fontId="6" fillId="0" borderId="0" xfId="3" applyFont="1" applyAlignment="1">
      <alignment horizontal="left" wrapText="1" indent="2"/>
    </xf>
    <xf numFmtId="0" fontId="6" fillId="0" borderId="0" xfId="3" applyFont="1" applyAlignment="1">
      <alignment horizontal="left" indent="2"/>
    </xf>
    <xf numFmtId="0" fontId="7" fillId="0" borderId="0" xfId="3" applyFont="1" applyAlignment="1">
      <alignment horizontal="left" wrapText="1" indent="2"/>
    </xf>
    <xf numFmtId="0" fontId="6" fillId="0" borderId="0" xfId="3" applyFont="1" applyAlignment="1">
      <alignment horizontal="center" vertical="top"/>
    </xf>
    <xf numFmtId="0" fontId="6" fillId="0" borderId="0" xfId="3" applyFont="1" applyAlignment="1">
      <alignment vertical="top" wrapText="1"/>
    </xf>
    <xf numFmtId="0" fontId="6" fillId="0" borderId="0" xfId="3" applyFont="1" applyAlignment="1">
      <alignment horizontal="left" vertical="top" wrapText="1" indent="2"/>
    </xf>
    <xf numFmtId="0" fontId="6" fillId="0" borderId="0" xfId="3" applyFont="1" applyAlignment="1">
      <alignment horizontal="left" vertical="top" indent="2"/>
    </xf>
    <xf numFmtId="0" fontId="7" fillId="0" borderId="0" xfId="3" applyFont="1" applyAlignment="1">
      <alignment horizontal="left" vertical="top" wrapText="1" indent="2"/>
    </xf>
    <xf numFmtId="0" fontId="7" fillId="0" borderId="0" xfId="3" applyFont="1" applyAlignment="1">
      <alignment horizontal="left" vertical="top" wrapText="1"/>
    </xf>
    <xf numFmtId="0" fontId="8" fillId="0" borderId="3" xfId="3" applyFont="1" applyBorder="1" applyAlignment="1">
      <alignment horizontal="center" vertical="top"/>
    </xf>
    <xf numFmtId="0" fontId="7" fillId="0" borderId="3" xfId="7" applyFont="1" applyBorder="1" applyAlignment="1">
      <alignment horizontal="left" vertical="top" wrapText="1" indent="2"/>
    </xf>
    <xf numFmtId="0" fontId="8" fillId="0" borderId="0" xfId="3" applyFont="1" applyAlignment="1">
      <alignment horizontal="center" vertical="top"/>
    </xf>
    <xf numFmtId="0" fontId="18" fillId="9" borderId="3" xfId="7" applyFont="1" applyFill="1" applyBorder="1" applyAlignment="1">
      <alignment horizontal="left" vertical="top" wrapText="1"/>
    </xf>
    <xf numFmtId="0" fontId="8" fillId="9" borderId="3" xfId="7" applyFont="1" applyFill="1" applyBorder="1" applyAlignment="1">
      <alignment horizontal="left" vertical="top" wrapText="1"/>
    </xf>
    <xf numFmtId="0" fontId="6" fillId="9" borderId="0" xfId="3" applyFont="1" applyFill="1" applyBorder="1" applyAlignment="1">
      <alignment horizontal="left" vertical="top"/>
    </xf>
    <xf numFmtId="0" fontId="12" fillId="9" borderId="3" xfId="3" applyFont="1" applyFill="1" applyBorder="1" applyAlignment="1">
      <alignment horizontal="left" vertical="top"/>
    </xf>
    <xf numFmtId="0" fontId="18" fillId="9" borderId="2" xfId="3" applyFont="1" applyFill="1" applyBorder="1" applyAlignment="1">
      <alignment horizontal="left" vertical="top" wrapText="1"/>
    </xf>
    <xf numFmtId="0" fontId="18" fillId="6" borderId="3" xfId="7" applyFont="1" applyFill="1" applyBorder="1" applyAlignment="1">
      <alignment vertical="top" wrapText="1"/>
    </xf>
    <xf numFmtId="0" fontId="18" fillId="6" borderId="3" xfId="7" applyNumberFormat="1" applyFont="1" applyFill="1" applyBorder="1" applyAlignment="1">
      <alignment horizontal="left" vertical="top" wrapText="1" indent="2"/>
    </xf>
    <xf numFmtId="0" fontId="18" fillId="9" borderId="3" xfId="3" applyFont="1" applyFill="1" applyBorder="1" applyAlignment="1">
      <alignment horizontal="left" vertical="top" wrapText="1"/>
    </xf>
    <xf numFmtId="0" fontId="8" fillId="9" borderId="3" xfId="3" applyFont="1" applyFill="1" applyBorder="1" applyAlignment="1">
      <alignment horizontal="left" vertical="top" wrapText="1" indent="2"/>
    </xf>
    <xf numFmtId="0" fontId="37" fillId="9" borderId="3" xfId="0" quotePrefix="1" applyFont="1" applyFill="1" applyBorder="1" applyAlignment="1">
      <alignment horizontal="left" vertical="top" wrapText="1"/>
    </xf>
    <xf numFmtId="0" fontId="7" fillId="9" borderId="3" xfId="3" applyFont="1" applyFill="1" applyBorder="1" applyAlignment="1">
      <alignment horizontal="left" vertical="top" wrapText="1"/>
    </xf>
    <xf numFmtId="0" fontId="24" fillId="9" borderId="0" xfId="3" applyFont="1" applyFill="1" applyBorder="1" applyAlignment="1">
      <alignment horizontal="left" vertical="top"/>
    </xf>
    <xf numFmtId="0" fontId="26" fillId="7" borderId="3" xfId="7" applyFont="1" applyFill="1" applyBorder="1" applyAlignment="1">
      <alignment horizontal="left" vertical="top" wrapText="1"/>
    </xf>
    <xf numFmtId="0" fontId="19" fillId="9" borderId="3" xfId="3" applyFont="1" applyFill="1" applyBorder="1" applyAlignment="1">
      <alignment horizontal="center" vertical="top"/>
    </xf>
    <xf numFmtId="0" fontId="12" fillId="11" borderId="3" xfId="7" applyFont="1" applyFill="1" applyBorder="1" applyAlignment="1">
      <alignment horizontal="left" vertical="top" wrapText="1"/>
    </xf>
    <xf numFmtId="0" fontId="18" fillId="11" borderId="3" xfId="7" applyFont="1" applyFill="1" applyBorder="1" applyAlignment="1">
      <alignment horizontal="left" vertical="top" indent="2"/>
    </xf>
    <xf numFmtId="0" fontId="18" fillId="9" borderId="4" xfId="3" applyFont="1" applyFill="1" applyBorder="1" applyAlignment="1">
      <alignment horizontal="left" vertical="top" wrapText="1"/>
    </xf>
    <xf numFmtId="0" fontId="7" fillId="9" borderId="3" xfId="3" applyFont="1" applyFill="1" applyBorder="1" applyAlignment="1">
      <alignment horizontal="left" vertical="top" wrapText="1" indent="2"/>
    </xf>
    <xf numFmtId="0" fontId="12" fillId="9" borderId="4" xfId="3" applyFont="1" applyFill="1" applyBorder="1" applyAlignment="1">
      <alignment horizontal="left" vertical="top" wrapText="1"/>
    </xf>
    <xf numFmtId="0" fontId="22" fillId="9" borderId="3" xfId="7" applyFont="1" applyFill="1" applyBorder="1" applyAlignment="1">
      <alignment horizontal="left" vertical="top" wrapText="1"/>
    </xf>
    <xf numFmtId="0" fontId="20" fillId="9" borderId="0" xfId="3" applyFont="1" applyFill="1" applyBorder="1" applyAlignment="1">
      <alignment horizontal="left" vertical="top"/>
    </xf>
    <xf numFmtId="0" fontId="9" fillId="9" borderId="0" xfId="3" applyFont="1" applyFill="1" applyBorder="1" applyAlignment="1">
      <alignment horizontal="left" vertical="top"/>
    </xf>
    <xf numFmtId="0" fontId="18" fillId="11" borderId="3" xfId="7" applyFont="1" applyFill="1" applyBorder="1" applyAlignment="1">
      <alignment horizontal="left" vertical="top" wrapText="1"/>
    </xf>
    <xf numFmtId="0" fontId="8" fillId="9" borderId="2" xfId="7" applyFont="1" applyFill="1" applyBorder="1" applyAlignment="1">
      <alignment horizontal="left" vertical="top" wrapText="1"/>
    </xf>
    <xf numFmtId="0" fontId="9" fillId="9" borderId="0" xfId="0" applyFont="1" applyFill="1" applyBorder="1" applyAlignment="1">
      <alignment horizontal="left" vertical="top"/>
    </xf>
    <xf numFmtId="0" fontId="12" fillId="10" borderId="3" xfId="7" applyFont="1" applyFill="1" applyBorder="1" applyAlignment="1">
      <alignment horizontal="left" vertical="top" wrapText="1"/>
    </xf>
    <xf numFmtId="0" fontId="12" fillId="9" borderId="3" xfId="0" applyFont="1" applyFill="1" applyBorder="1" applyAlignment="1">
      <alignment horizontal="left" vertical="top" wrapText="1"/>
    </xf>
    <xf numFmtId="0" fontId="6" fillId="9" borderId="2" xfId="3" applyFont="1" applyFill="1" applyBorder="1" applyAlignment="1">
      <alignment horizontal="left" vertical="top" wrapText="1" indent="2"/>
    </xf>
    <xf numFmtId="0" fontId="6" fillId="9" borderId="3" xfId="3" applyFont="1" applyFill="1" applyBorder="1" applyAlignment="1">
      <alignment horizontal="center" vertical="top" wrapText="1"/>
    </xf>
    <xf numFmtId="0" fontId="6" fillId="9" borderId="0" xfId="3" applyFont="1" applyFill="1" applyBorder="1" applyAlignment="1">
      <alignment horizontal="left" vertical="top" wrapText="1"/>
    </xf>
    <xf numFmtId="0" fontId="8" fillId="9" borderId="0" xfId="3" applyFont="1" applyFill="1" applyBorder="1" applyAlignment="1">
      <alignment horizontal="center" vertical="top"/>
    </xf>
    <xf numFmtId="0" fontId="8" fillId="9" borderId="2" xfId="3" applyFont="1" applyFill="1" applyBorder="1" applyAlignment="1">
      <alignment horizontal="center" vertical="top"/>
    </xf>
    <xf numFmtId="0" fontId="18" fillId="0" borderId="2" xfId="3" applyFont="1" applyBorder="1" applyAlignment="1">
      <alignment horizontal="left" vertical="top" wrapText="1"/>
    </xf>
    <xf numFmtId="165" fontId="8" fillId="9" borderId="3" xfId="11" applyNumberFormat="1" applyFont="1" applyFill="1" applyBorder="1" applyAlignment="1">
      <alignment horizontal="center" vertical="top" wrapText="1"/>
    </xf>
    <xf numFmtId="0" fontId="0" fillId="0" borderId="0" xfId="0" applyFont="1" applyFill="1" applyAlignment="1"/>
    <xf numFmtId="0" fontId="41" fillId="0" borderId="0" xfId="0" applyFont="1" applyAlignment="1">
      <alignment horizontal="left" vertical="center" indent="3"/>
    </xf>
    <xf numFmtId="0" fontId="42" fillId="0" borderId="0" xfId="0" applyFont="1" applyAlignment="1"/>
    <xf numFmtId="0" fontId="15" fillId="0" borderId="0" xfId="0" applyFont="1" applyAlignment="1"/>
    <xf numFmtId="0" fontId="6" fillId="0" borderId="0" xfId="0" applyFont="1" applyAlignment="1"/>
    <xf numFmtId="0" fontId="6" fillId="0" borderId="6" xfId="0" applyFont="1" applyBorder="1" applyAlignment="1"/>
    <xf numFmtId="0" fontId="6" fillId="0" borderId="7" xfId="0" applyFont="1" applyBorder="1" applyAlignment="1"/>
    <xf numFmtId="0" fontId="6" fillId="0" borderId="8" xfId="0" applyFont="1" applyBorder="1" applyAlignment="1"/>
    <xf numFmtId="0" fontId="6" fillId="0" borderId="9" xfId="0" applyFont="1" applyBorder="1" applyAlignment="1"/>
    <xf numFmtId="0" fontId="15" fillId="0" borderId="10" xfId="0" applyFont="1" applyBorder="1" applyAlignment="1"/>
    <xf numFmtId="0" fontId="15" fillId="0" borderId="5" xfId="0" applyFont="1" applyBorder="1" applyAlignment="1"/>
    <xf numFmtId="0" fontId="43" fillId="9" borderId="3" xfId="0" applyFont="1" applyFill="1" applyBorder="1" applyAlignment="1">
      <alignment vertical="top" wrapText="1"/>
    </xf>
    <xf numFmtId="0" fontId="17" fillId="4" borderId="4" xfId="3" applyFont="1" applyFill="1" applyBorder="1" applyAlignment="1">
      <alignment horizontal="left" vertical="top" wrapText="1" indent="2"/>
    </xf>
    <xf numFmtId="0" fontId="12" fillId="7" borderId="3" xfId="7" applyFont="1" applyFill="1" applyBorder="1" applyAlignment="1">
      <alignment vertical="top" wrapText="1"/>
    </xf>
    <xf numFmtId="0" fontId="18" fillId="11" borderId="3" xfId="7" applyFont="1" applyFill="1" applyBorder="1" applyAlignment="1">
      <alignment vertical="top" wrapText="1"/>
    </xf>
    <xf numFmtId="0" fontId="18" fillId="10" borderId="3" xfId="7" applyFont="1" applyFill="1" applyBorder="1" applyAlignment="1">
      <alignment vertical="top" wrapText="1"/>
    </xf>
    <xf numFmtId="0" fontId="31" fillId="0" borderId="0" xfId="3" applyFont="1" applyBorder="1" applyAlignment="1">
      <alignment horizontal="center" vertical="top" wrapText="1"/>
    </xf>
    <xf numFmtId="0" fontId="8" fillId="0" borderId="0" xfId="3" applyFont="1" applyBorder="1" applyAlignment="1">
      <alignment horizontal="center" vertical="top"/>
    </xf>
    <xf numFmtId="0" fontId="46" fillId="0" borderId="0" xfId="3" applyFont="1" applyFill="1" applyBorder="1" applyAlignment="1">
      <alignment vertical="center"/>
    </xf>
    <xf numFmtId="0" fontId="6" fillId="9" borderId="2" xfId="3" applyNumberFormat="1" applyFont="1" applyFill="1" applyBorder="1" applyAlignment="1">
      <alignment horizontal="left" vertical="top" wrapText="1" indent="2"/>
    </xf>
    <xf numFmtId="0" fontId="48" fillId="0" borderId="0" xfId="3" applyFont="1" applyFill="1" applyBorder="1" applyAlignment="1">
      <alignment horizontal="left" vertical="top"/>
    </xf>
    <xf numFmtId="0" fontId="8" fillId="9" borderId="3" xfId="3" applyNumberFormat="1" applyFont="1" applyFill="1" applyBorder="1" applyAlignment="1">
      <alignment horizontal="center" vertical="top"/>
    </xf>
    <xf numFmtId="0" fontId="12" fillId="0" borderId="0" xfId="3" applyFont="1" applyAlignment="1">
      <alignment horizontal="left" vertical="top"/>
    </xf>
    <xf numFmtId="0" fontId="12" fillId="0" borderId="0" xfId="8" applyFont="1" applyFill="1" applyBorder="1" applyAlignment="1">
      <alignment horizontal="center" vertical="top" wrapText="1"/>
    </xf>
    <xf numFmtId="0" fontId="7" fillId="0" borderId="0" xfId="3" applyFont="1" applyFill="1" applyBorder="1" applyAlignment="1">
      <alignment horizontal="left" wrapText="1" indent="2"/>
    </xf>
    <xf numFmtId="0" fontId="7" fillId="0" borderId="0" xfId="3" applyFont="1" applyFill="1" applyBorder="1" applyAlignment="1">
      <alignment horizontal="left" vertical="top" wrapText="1" indent="2"/>
    </xf>
    <xf numFmtId="0" fontId="17" fillId="0" borderId="0" xfId="3" applyFont="1" applyFill="1" applyBorder="1" applyAlignment="1">
      <alignment horizontal="left" vertical="top" wrapText="1" indent="2"/>
    </xf>
    <xf numFmtId="0" fontId="18" fillId="0" borderId="0" xfId="7" applyFont="1" applyFill="1" applyBorder="1" applyAlignment="1">
      <alignment horizontal="left" vertical="top" wrapText="1" indent="2"/>
    </xf>
    <xf numFmtId="0" fontId="7" fillId="0" borderId="0" xfId="7" applyFont="1" applyFill="1" applyBorder="1" applyAlignment="1">
      <alignment horizontal="left" vertical="top" wrapText="1" indent="2"/>
    </xf>
    <xf numFmtId="0" fontId="8" fillId="0" borderId="0" xfId="7" applyFont="1" applyFill="1" applyBorder="1" applyAlignment="1">
      <alignment horizontal="left" vertical="top" wrapText="1" indent="2"/>
    </xf>
    <xf numFmtId="0" fontId="12" fillId="0" borderId="0" xfId="7" applyFont="1" applyFill="1" applyBorder="1" applyAlignment="1">
      <alignment horizontal="left" vertical="top" wrapText="1" indent="2"/>
    </xf>
    <xf numFmtId="0" fontId="25" fillId="0" borderId="0" xfId="7" applyFont="1" applyFill="1" applyBorder="1" applyAlignment="1">
      <alignment horizontal="left" vertical="top" wrapText="1" indent="2"/>
    </xf>
    <xf numFmtId="0" fontId="26" fillId="0" borderId="0" xfId="7" applyFont="1" applyFill="1" applyBorder="1" applyAlignment="1">
      <alignment horizontal="left" vertical="top" wrapText="1" indent="2"/>
    </xf>
    <xf numFmtId="0" fontId="8" fillId="0" borderId="0" xfId="0" applyFont="1" applyFill="1" applyBorder="1" applyAlignment="1">
      <alignment horizontal="left" vertical="top" wrapText="1" indent="2"/>
    </xf>
    <xf numFmtId="0" fontId="12" fillId="0" borderId="12" xfId="8" applyFont="1" applyFill="1" applyBorder="1" applyAlignment="1">
      <alignment horizontal="center" vertical="top" wrapText="1"/>
    </xf>
    <xf numFmtId="0" fontId="12" fillId="0" borderId="13" xfId="8" applyFont="1" applyFill="1" applyBorder="1" applyAlignment="1">
      <alignment horizontal="center" vertical="top"/>
    </xf>
    <xf numFmtId="0" fontId="12" fillId="0" borderId="13" xfId="8" applyFont="1" applyFill="1" applyBorder="1" applyAlignment="1">
      <alignment horizontal="center" vertical="top" wrapText="1"/>
    </xf>
    <xf numFmtId="0" fontId="12" fillId="0" borderId="13" xfId="8" applyFont="1" applyFill="1" applyBorder="1" applyAlignment="1">
      <alignment horizontal="left" vertical="top" wrapText="1"/>
    </xf>
    <xf numFmtId="0" fontId="12" fillId="0" borderId="13" xfId="3" applyFont="1" applyFill="1" applyBorder="1" applyAlignment="1">
      <alignment horizontal="left" vertical="top"/>
    </xf>
    <xf numFmtId="0" fontId="12" fillId="0" borderId="14" xfId="8" applyFont="1" applyFill="1" applyBorder="1" applyAlignment="1">
      <alignment horizontal="center" vertical="top" wrapText="1"/>
    </xf>
    <xf numFmtId="0" fontId="17" fillId="4" borderId="15" xfId="3" applyFont="1" applyFill="1" applyBorder="1" applyAlignment="1">
      <alignment horizontal="left" vertical="top" wrapText="1" indent="2"/>
    </xf>
    <xf numFmtId="0" fontId="18" fillId="6" borderId="15" xfId="7" applyFont="1" applyFill="1" applyBorder="1" applyAlignment="1">
      <alignment horizontal="left" vertical="top" wrapText="1" indent="2"/>
    </xf>
    <xf numFmtId="0" fontId="7" fillId="9" borderId="15" xfId="7" applyFont="1" applyFill="1" applyBorder="1" applyAlignment="1">
      <alignment horizontal="left" vertical="top" wrapText="1" indent="2"/>
    </xf>
    <xf numFmtId="0" fontId="8" fillId="9" borderId="15" xfId="7" applyFont="1" applyFill="1" applyBorder="1" applyAlignment="1">
      <alignment horizontal="left" vertical="top" wrapText="1" indent="2"/>
    </xf>
    <xf numFmtId="0" fontId="17" fillId="5" borderId="15" xfId="3" applyFont="1" applyFill="1" applyBorder="1" applyAlignment="1">
      <alignment horizontal="left" vertical="top" wrapText="1" indent="2"/>
    </xf>
    <xf numFmtId="0" fontId="12" fillId="7" borderId="15" xfId="7" applyFont="1" applyFill="1" applyBorder="1" applyAlignment="1">
      <alignment horizontal="left" vertical="top" wrapText="1" indent="2"/>
    </xf>
    <xf numFmtId="0" fontId="17" fillId="3" borderId="15" xfId="3" applyFont="1" applyFill="1" applyBorder="1" applyAlignment="1">
      <alignment horizontal="left" vertical="top" wrapText="1" indent="2"/>
    </xf>
    <xf numFmtId="0" fontId="25" fillId="11" borderId="15" xfId="7" applyFont="1" applyFill="1" applyBorder="1" applyAlignment="1">
      <alignment horizontal="left" vertical="top" wrapText="1" indent="2"/>
    </xf>
    <xf numFmtId="0" fontId="18" fillId="9" borderId="0" xfId="3" applyFont="1" applyFill="1" applyBorder="1" applyAlignment="1">
      <alignment horizontal="left" vertical="top" wrapText="1"/>
    </xf>
    <xf numFmtId="0" fontId="26" fillId="11" borderId="15" xfId="7" applyFont="1" applyFill="1" applyBorder="1" applyAlignment="1">
      <alignment horizontal="left" vertical="top" wrapText="1" indent="2"/>
    </xf>
    <xf numFmtId="0" fontId="12" fillId="9" borderId="0" xfId="3" applyFont="1" applyFill="1" applyBorder="1" applyAlignment="1">
      <alignment horizontal="left" vertical="top" wrapText="1"/>
    </xf>
    <xf numFmtId="0" fontId="17" fillId="2" borderId="15" xfId="3" applyFont="1" applyFill="1" applyBorder="1" applyAlignment="1">
      <alignment horizontal="left" vertical="top" wrapText="1" indent="2"/>
    </xf>
    <xf numFmtId="0" fontId="18" fillId="10" borderId="15" xfId="7" applyFont="1" applyFill="1" applyBorder="1" applyAlignment="1">
      <alignment horizontal="left" vertical="top" wrapText="1" indent="2"/>
    </xf>
    <xf numFmtId="0" fontId="8" fillId="9" borderId="15" xfId="0" applyFont="1" applyFill="1" applyBorder="1" applyAlignment="1">
      <alignment horizontal="left" vertical="top" wrapText="1" indent="2"/>
    </xf>
    <xf numFmtId="0" fontId="12" fillId="0" borderId="22" xfId="8" applyFont="1" applyFill="1" applyBorder="1" applyAlignment="1">
      <alignment horizontal="center" vertical="top" wrapText="1"/>
    </xf>
    <xf numFmtId="0" fontId="17" fillId="4" borderId="23" xfId="3" applyFont="1" applyFill="1" applyBorder="1" applyAlignment="1">
      <alignment horizontal="left" vertical="top" wrapText="1" indent="2"/>
    </xf>
    <xf numFmtId="0" fontId="18" fillId="6" borderId="23" xfId="7" applyFont="1" applyFill="1" applyBorder="1" applyAlignment="1">
      <alignment horizontal="left" vertical="top" wrapText="1" indent="2"/>
    </xf>
    <xf numFmtId="0" fontId="29" fillId="0" borderId="23" xfId="3" applyFont="1" applyFill="1" applyBorder="1" applyAlignment="1">
      <alignment horizontal="left" vertical="top"/>
    </xf>
    <xf numFmtId="0" fontId="7" fillId="9" borderId="24" xfId="7" applyFont="1" applyFill="1" applyBorder="1" applyAlignment="1">
      <alignment horizontal="left" vertical="top" wrapText="1" indent="2"/>
    </xf>
    <xf numFmtId="0" fontId="7" fillId="9" borderId="23" xfId="7" applyFont="1" applyFill="1" applyBorder="1" applyAlignment="1">
      <alignment horizontal="left" vertical="top" wrapText="1" indent="2"/>
    </xf>
    <xf numFmtId="0" fontId="8" fillId="9" borderId="23" xfId="7" applyFont="1" applyFill="1" applyBorder="1" applyAlignment="1">
      <alignment horizontal="left" vertical="top" wrapText="1" indent="2"/>
    </xf>
    <xf numFmtId="0" fontId="17" fillId="5" borderId="23" xfId="3" applyFont="1" applyFill="1" applyBorder="1" applyAlignment="1">
      <alignment horizontal="left" vertical="top" wrapText="1" indent="2"/>
    </xf>
    <xf numFmtId="0" fontId="12" fillId="7" borderId="23" xfId="7" applyFont="1" applyFill="1" applyBorder="1" applyAlignment="1">
      <alignment horizontal="left" vertical="top" wrapText="1" indent="2"/>
    </xf>
    <xf numFmtId="0" fontId="48" fillId="0" borderId="23" xfId="3" applyFont="1" applyFill="1" applyBorder="1" applyAlignment="1">
      <alignment horizontal="left" vertical="top"/>
    </xf>
    <xf numFmtId="0" fontId="17" fillId="3" borderId="23" xfId="3" applyFont="1" applyFill="1" applyBorder="1" applyAlignment="1">
      <alignment horizontal="left" vertical="top" wrapText="1" indent="2"/>
    </xf>
    <xf numFmtId="0" fontId="25" fillId="11" borderId="23" xfId="7" applyFont="1" applyFill="1" applyBorder="1" applyAlignment="1">
      <alignment horizontal="left" vertical="top" wrapText="1" indent="2"/>
    </xf>
    <xf numFmtId="0" fontId="24" fillId="0" borderId="23" xfId="3" applyFont="1" applyFill="1" applyBorder="1" applyAlignment="1">
      <alignment horizontal="left" vertical="top"/>
    </xf>
    <xf numFmtId="0" fontId="26" fillId="11" borderId="23" xfId="7" applyFont="1" applyFill="1" applyBorder="1" applyAlignment="1">
      <alignment horizontal="left" vertical="top" wrapText="1" indent="2"/>
    </xf>
    <xf numFmtId="0" fontId="17" fillId="2" borderId="23" xfId="3" applyFont="1" applyFill="1" applyBorder="1" applyAlignment="1">
      <alignment horizontal="left" vertical="top" wrapText="1" indent="2"/>
    </xf>
    <xf numFmtId="0" fontId="18" fillId="10" borderId="23" xfId="7" applyFont="1" applyFill="1" applyBorder="1" applyAlignment="1">
      <alignment horizontal="left" vertical="top" wrapText="1" indent="2"/>
    </xf>
    <xf numFmtId="0" fontId="8" fillId="9" borderId="23" xfId="0" applyFont="1" applyFill="1" applyBorder="1" applyAlignment="1">
      <alignment horizontal="left" vertical="top" wrapText="1" indent="2"/>
    </xf>
    <xf numFmtId="0" fontId="26" fillId="11" borderId="3" xfId="7" applyNumberFormat="1" applyFont="1" applyFill="1" applyBorder="1" applyAlignment="1">
      <alignment horizontal="center" vertical="top"/>
    </xf>
    <xf numFmtId="0" fontId="15" fillId="0" borderId="0" xfId="3" applyFont="1" applyAlignment="1">
      <alignment wrapText="1"/>
    </xf>
    <xf numFmtId="0" fontId="8" fillId="0" borderId="17" xfId="3" applyFont="1" applyFill="1" applyBorder="1" applyAlignment="1">
      <alignment horizontal="left" vertical="center"/>
    </xf>
    <xf numFmtId="0" fontId="8" fillId="9" borderId="17" xfId="3" applyFont="1" applyFill="1" applyBorder="1" applyAlignment="1">
      <alignment horizontal="left" vertical="center"/>
    </xf>
    <xf numFmtId="0" fontId="8" fillId="0" borderId="17" xfId="3" applyFont="1" applyFill="1" applyBorder="1" applyAlignment="1">
      <alignment horizontal="left" vertical="top"/>
    </xf>
    <xf numFmtId="0" fontId="47" fillId="0" borderId="3" xfId="7" applyFont="1" applyFill="1" applyBorder="1" applyAlignment="1">
      <alignment vertical="top"/>
    </xf>
    <xf numFmtId="0" fontId="47" fillId="0" borderId="15" xfId="7" applyFont="1" applyFill="1" applyBorder="1" applyAlignment="1">
      <alignment vertical="top"/>
    </xf>
    <xf numFmtId="0" fontId="47" fillId="0" borderId="0" xfId="7" applyFont="1" applyFill="1" applyBorder="1" applyAlignment="1">
      <alignment horizontal="left" vertical="top"/>
    </xf>
    <xf numFmtId="0" fontId="46" fillId="9" borderId="2" xfId="3" applyFont="1" applyFill="1" applyBorder="1" applyAlignment="1">
      <alignment horizontal="center" vertical="top"/>
    </xf>
    <xf numFmtId="0" fontId="46" fillId="9" borderId="3" xfId="3" applyFont="1" applyFill="1" applyBorder="1" applyAlignment="1">
      <alignment horizontal="center" vertical="top" wrapText="1"/>
    </xf>
    <xf numFmtId="0" fontId="49" fillId="0" borderId="3" xfId="3" applyFont="1" applyFill="1" applyBorder="1" applyAlignment="1">
      <alignment horizontal="left" vertical="top"/>
    </xf>
    <xf numFmtId="0" fontId="46" fillId="9" borderId="3" xfId="3" applyFont="1" applyFill="1" applyBorder="1" applyAlignment="1">
      <alignment horizontal="center" vertical="top"/>
    </xf>
    <xf numFmtId="0" fontId="46" fillId="9" borderId="3" xfId="3" applyNumberFormat="1" applyFont="1" applyFill="1" applyBorder="1" applyAlignment="1">
      <alignment horizontal="center" vertical="top"/>
    </xf>
    <xf numFmtId="0" fontId="47" fillId="0" borderId="3" xfId="3" applyFont="1" applyFill="1" applyBorder="1" applyAlignment="1">
      <alignment vertical="top"/>
    </xf>
    <xf numFmtId="0" fontId="47" fillId="0" borderId="15" xfId="3" applyFont="1" applyFill="1" applyBorder="1" applyAlignment="1">
      <alignment vertical="top"/>
    </xf>
    <xf numFmtId="0" fontId="47" fillId="0" borderId="0" xfId="3" applyFont="1" applyFill="1" applyBorder="1" applyAlignment="1">
      <alignment horizontal="left" vertical="top"/>
    </xf>
    <xf numFmtId="0" fontId="8" fillId="0" borderId="0" xfId="3" applyFont="1" applyFill="1" applyBorder="1" applyAlignment="1">
      <alignment vertical="center"/>
    </xf>
    <xf numFmtId="0" fontId="8" fillId="0" borderId="0" xfId="3" applyFont="1" applyFill="1" applyBorder="1" applyAlignment="1">
      <alignment horizontal="left" vertical="center"/>
    </xf>
    <xf numFmtId="0" fontId="12" fillId="0" borderId="11" xfId="3" applyFont="1" applyFill="1" applyBorder="1" applyAlignment="1">
      <alignment horizontal="left" vertical="top"/>
    </xf>
    <xf numFmtId="0" fontId="50" fillId="0" borderId="17" xfId="3" applyFont="1" applyFill="1" applyBorder="1" applyAlignment="1">
      <alignment horizontal="left" vertical="top"/>
    </xf>
    <xf numFmtId="0" fontId="8" fillId="0" borderId="0" xfId="0" applyFont="1" applyFill="1" applyBorder="1" applyAlignment="1">
      <alignment horizontal="left" vertical="center"/>
    </xf>
    <xf numFmtId="0" fontId="8" fillId="0" borderId="0" xfId="3" applyFont="1" applyFill="1" applyBorder="1" applyAlignment="1">
      <alignment horizontal="left" vertical="top"/>
    </xf>
    <xf numFmtId="0" fontId="25" fillId="10" borderId="3" xfId="7" applyNumberFormat="1" applyFont="1" applyFill="1" applyBorder="1" applyAlignment="1">
      <alignment horizontal="center" vertical="top"/>
    </xf>
    <xf numFmtId="0" fontId="8" fillId="0" borderId="0" xfId="3" applyFont="1" applyAlignment="1">
      <alignment vertical="top"/>
    </xf>
    <xf numFmtId="0" fontId="8" fillId="0" borderId="0" xfId="3" applyFont="1" applyBorder="1" applyAlignment="1">
      <alignment vertical="top"/>
    </xf>
    <xf numFmtId="0" fontId="46" fillId="0" borderId="0" xfId="3" applyFont="1" applyBorder="1" applyAlignment="1">
      <alignment vertical="top"/>
    </xf>
    <xf numFmtId="0" fontId="33" fillId="4" borderId="26" xfId="3" applyFont="1" applyFill="1" applyBorder="1" applyAlignment="1">
      <alignment horizontal="center" vertical="top"/>
    </xf>
    <xf numFmtId="0" fontId="26" fillId="6" borderId="26" xfId="7" applyFont="1" applyFill="1" applyBorder="1" applyAlignment="1">
      <alignment horizontal="center" vertical="top"/>
    </xf>
    <xf numFmtId="0" fontId="29" fillId="0" borderId="26" xfId="3" applyFont="1" applyFill="1" applyBorder="1" applyAlignment="1">
      <alignment horizontal="left" vertical="top"/>
    </xf>
    <xf numFmtId="0" fontId="8" fillId="9" borderId="27" xfId="3" applyFont="1" applyFill="1" applyBorder="1" applyAlignment="1">
      <alignment horizontal="center" vertical="top"/>
    </xf>
    <xf numFmtId="0" fontId="8" fillId="9" borderId="26" xfId="3" applyFont="1" applyFill="1" applyBorder="1" applyAlignment="1">
      <alignment horizontal="center" vertical="top"/>
    </xf>
    <xf numFmtId="0" fontId="12" fillId="6" borderId="26" xfId="7" applyFont="1" applyFill="1" applyBorder="1" applyAlignment="1">
      <alignment horizontal="center" vertical="top"/>
    </xf>
    <xf numFmtId="0" fontId="33" fillId="5" borderId="26" xfId="3" applyFont="1" applyFill="1" applyBorder="1" applyAlignment="1">
      <alignment horizontal="center" vertical="top"/>
    </xf>
    <xf numFmtId="0" fontId="12" fillId="7" borderId="26" xfId="7" applyFont="1" applyFill="1" applyBorder="1" applyAlignment="1">
      <alignment horizontal="center" vertical="top"/>
    </xf>
    <xf numFmtId="0" fontId="48" fillId="0" borderId="17" xfId="3" applyFont="1" applyFill="1" applyBorder="1" applyAlignment="1">
      <alignment horizontal="left" vertical="top"/>
    </xf>
    <xf numFmtId="0" fontId="19" fillId="9" borderId="26" xfId="3" applyFont="1" applyFill="1" applyBorder="1" applyAlignment="1">
      <alignment horizontal="center" vertical="top"/>
    </xf>
    <xf numFmtId="0" fontId="33" fillId="3" borderId="26" xfId="3" applyFont="1" applyFill="1" applyBorder="1" applyAlignment="1">
      <alignment horizontal="center" vertical="top"/>
    </xf>
    <xf numFmtId="0" fontId="26" fillId="11" borderId="26" xfId="7" applyFont="1" applyFill="1" applyBorder="1" applyAlignment="1">
      <alignment horizontal="center" vertical="top"/>
    </xf>
    <xf numFmtId="0" fontId="33" fillId="2" borderId="26" xfId="3" applyFont="1" applyFill="1" applyBorder="1" applyAlignment="1">
      <alignment horizontal="center" vertical="top"/>
    </xf>
    <xf numFmtId="0" fontId="26" fillId="10" borderId="26" xfId="7" applyFont="1" applyFill="1" applyBorder="1" applyAlignment="1">
      <alignment horizontal="center" vertical="top"/>
    </xf>
    <xf numFmtId="0" fontId="8" fillId="9" borderId="26" xfId="3" applyFont="1" applyFill="1" applyBorder="1" applyAlignment="1">
      <alignment horizontal="center" vertical="top" wrapText="1"/>
    </xf>
    <xf numFmtId="0" fontId="12" fillId="10" borderId="26" xfId="7" applyFont="1" applyFill="1" applyBorder="1" applyAlignment="1">
      <alignment horizontal="center" vertical="top"/>
    </xf>
    <xf numFmtId="0" fontId="6" fillId="9" borderId="0" xfId="3" applyFont="1" applyFill="1" applyBorder="1" applyAlignment="1">
      <alignment horizontal="center" vertical="top"/>
    </xf>
    <xf numFmtId="0" fontId="12" fillId="9" borderId="0" xfId="0" applyFont="1" applyFill="1" applyBorder="1" applyAlignment="1">
      <alignment horizontal="left" vertical="top" wrapText="1"/>
    </xf>
    <xf numFmtId="0" fontId="8" fillId="9" borderId="0" xfId="7" applyFont="1" applyFill="1" applyBorder="1" applyAlignment="1">
      <alignment horizontal="left" vertical="top" wrapText="1"/>
    </xf>
    <xf numFmtId="0" fontId="6" fillId="9" borderId="0" xfId="3" applyFont="1" applyFill="1" applyBorder="1" applyAlignment="1">
      <alignment horizontal="left" vertical="top" wrapText="1" indent="2"/>
    </xf>
    <xf numFmtId="0" fontId="7" fillId="9" borderId="0" xfId="7" applyFont="1" applyFill="1" applyBorder="1" applyAlignment="1">
      <alignment horizontal="left" vertical="top" wrapText="1" indent="2"/>
    </xf>
    <xf numFmtId="0" fontId="24" fillId="0" borderId="3" xfId="3" applyFont="1" applyFill="1" applyBorder="1" applyAlignment="1">
      <alignment horizontal="left" vertical="top"/>
    </xf>
    <xf numFmtId="0" fontId="8" fillId="13" borderId="17" xfId="3" applyFont="1" applyFill="1" applyBorder="1" applyAlignment="1">
      <alignment horizontal="left" vertical="center"/>
    </xf>
    <xf numFmtId="0" fontId="8" fillId="13" borderId="26" xfId="3" applyFont="1" applyFill="1" applyBorder="1" applyAlignment="1">
      <alignment horizontal="center" vertical="top"/>
    </xf>
    <xf numFmtId="0" fontId="8" fillId="13" borderId="3" xfId="3" applyFont="1" applyFill="1" applyBorder="1" applyAlignment="1">
      <alignment horizontal="center" vertical="top"/>
    </xf>
    <xf numFmtId="0" fontId="6" fillId="13" borderId="3" xfId="3" applyFont="1" applyFill="1" applyBorder="1" applyAlignment="1">
      <alignment horizontal="center" vertical="top" wrapText="1"/>
    </xf>
    <xf numFmtId="0" fontId="12" fillId="13" borderId="3" xfId="7" applyFont="1" applyFill="1" applyBorder="1" applyAlignment="1">
      <alignment horizontal="left" vertical="top" wrapText="1"/>
    </xf>
    <xf numFmtId="0" fontId="7" fillId="13" borderId="3" xfId="7" applyFont="1" applyFill="1" applyBorder="1" applyAlignment="1">
      <alignment horizontal="left" vertical="top" wrapText="1"/>
    </xf>
    <xf numFmtId="0" fontId="6" fillId="13" borderId="3" xfId="3" applyFont="1" applyFill="1" applyBorder="1" applyAlignment="1">
      <alignment horizontal="left" vertical="top" wrapText="1" indent="2"/>
    </xf>
    <xf numFmtId="0" fontId="6" fillId="13" borderId="3" xfId="3" applyFont="1" applyFill="1" applyBorder="1" applyAlignment="1">
      <alignment horizontal="left" vertical="top" indent="2"/>
    </xf>
    <xf numFmtId="0" fontId="7" fillId="13" borderId="3" xfId="7" applyFont="1" applyFill="1" applyBorder="1" applyAlignment="1">
      <alignment horizontal="left" vertical="top" wrapText="1" indent="2"/>
    </xf>
    <xf numFmtId="0" fontId="7" fillId="13" borderId="15" xfId="7" applyFont="1" applyFill="1" applyBorder="1" applyAlignment="1">
      <alignment horizontal="left" vertical="top" wrapText="1" indent="2"/>
    </xf>
    <xf numFmtId="0" fontId="7" fillId="13" borderId="0" xfId="7" applyFont="1" applyFill="1" applyBorder="1" applyAlignment="1">
      <alignment horizontal="left" vertical="top" wrapText="1" indent="2"/>
    </xf>
    <xf numFmtId="0" fontId="7" fillId="13" borderId="23" xfId="7" applyFont="1" applyFill="1" applyBorder="1" applyAlignment="1">
      <alignment horizontal="left" vertical="top" wrapText="1" indent="2"/>
    </xf>
    <xf numFmtId="0" fontId="6" fillId="13" borderId="0" xfId="3" applyFont="1" applyFill="1" applyBorder="1" applyAlignment="1">
      <alignment horizontal="left" vertical="top"/>
    </xf>
    <xf numFmtId="0" fontId="8" fillId="13" borderId="3" xfId="7" applyFont="1" applyFill="1" applyBorder="1" applyAlignment="1">
      <alignment horizontal="left" vertical="top" wrapText="1"/>
    </xf>
    <xf numFmtId="0" fontId="12" fillId="13" borderId="3" xfId="3" applyFont="1" applyFill="1" applyBorder="1" applyAlignment="1">
      <alignment horizontal="left" vertical="top" wrapText="1"/>
    </xf>
    <xf numFmtId="0" fontId="18" fillId="13" borderId="0" xfId="3" applyFont="1" applyFill="1" applyBorder="1" applyAlignment="1">
      <alignment horizontal="left" vertical="top" wrapText="1"/>
    </xf>
    <xf numFmtId="0" fontId="18" fillId="13" borderId="3" xfId="3" applyFont="1" applyFill="1" applyBorder="1" applyAlignment="1">
      <alignment horizontal="left" vertical="top" wrapText="1"/>
    </xf>
    <xf numFmtId="0" fontId="18" fillId="13" borderId="4" xfId="3" applyFont="1" applyFill="1" applyBorder="1" applyAlignment="1">
      <alignment horizontal="left" vertical="top" wrapText="1"/>
    </xf>
    <xf numFmtId="0" fontId="8" fillId="13" borderId="2" xfId="10" applyFont="1" applyFill="1" applyBorder="1" applyAlignment="1">
      <alignment horizontal="left" vertical="top" wrapText="1"/>
    </xf>
    <xf numFmtId="0" fontId="7" fillId="13" borderId="2" xfId="7" applyFont="1" applyFill="1" applyBorder="1" applyAlignment="1">
      <alignment horizontal="left" vertical="top" wrapText="1"/>
    </xf>
    <xf numFmtId="0" fontId="7" fillId="13" borderId="3" xfId="3" applyFont="1" applyFill="1" applyBorder="1" applyAlignment="1">
      <alignment horizontal="left" vertical="top" wrapText="1"/>
    </xf>
    <xf numFmtId="0" fontId="7" fillId="13" borderId="4" xfId="3" applyFont="1" applyFill="1" applyBorder="1" applyAlignment="1">
      <alignment vertical="top" wrapText="1"/>
    </xf>
    <xf numFmtId="0" fontId="6" fillId="13" borderId="0" xfId="3" applyFont="1" applyFill="1" applyBorder="1" applyAlignment="1">
      <alignment horizontal="left" vertical="top" wrapText="1" indent="2"/>
    </xf>
    <xf numFmtId="0" fontId="6" fillId="13" borderId="18" xfId="3" applyFont="1" applyFill="1" applyBorder="1" applyAlignment="1">
      <alignment horizontal="left" vertical="top" wrapText="1" indent="2"/>
    </xf>
    <xf numFmtId="0" fontId="6" fillId="9" borderId="2" xfId="3" applyFont="1" applyFill="1" applyBorder="1" applyAlignment="1">
      <alignment horizontal="center" vertical="top"/>
    </xf>
    <xf numFmtId="0" fontId="18" fillId="9" borderId="2" xfId="7" applyFont="1" applyFill="1" applyBorder="1" applyAlignment="1">
      <alignment horizontal="left" vertical="top" wrapText="1"/>
    </xf>
    <xf numFmtId="0" fontId="7" fillId="9" borderId="2" xfId="7" applyFont="1" applyFill="1" applyBorder="1" applyAlignment="1">
      <alignment horizontal="left" vertical="top" wrapText="1" indent="2"/>
    </xf>
    <xf numFmtId="0" fontId="7" fillId="9" borderId="16" xfId="7" applyFont="1" applyFill="1" applyBorder="1" applyAlignment="1">
      <alignment horizontal="left" vertical="top" wrapText="1" indent="2"/>
    </xf>
    <xf numFmtId="0" fontId="7" fillId="9" borderId="15" xfId="3" applyFont="1" applyFill="1" applyBorder="1" applyAlignment="1">
      <alignment horizontal="left" vertical="top" wrapText="1" indent="2"/>
    </xf>
    <xf numFmtId="0" fontId="7" fillId="9" borderId="0" xfId="3" applyFont="1" applyFill="1" applyBorder="1" applyAlignment="1">
      <alignment horizontal="left" vertical="top" wrapText="1" indent="2"/>
    </xf>
    <xf numFmtId="0" fontId="8" fillId="9" borderId="17" xfId="3" applyFont="1" applyFill="1" applyBorder="1" applyAlignment="1">
      <alignment horizontal="center" vertical="top"/>
    </xf>
    <xf numFmtId="0" fontId="27" fillId="9" borderId="3" xfId="7" applyFont="1" applyFill="1" applyBorder="1" applyAlignment="1">
      <alignment horizontal="left" vertical="top" wrapText="1"/>
    </xf>
    <xf numFmtId="0" fontId="7" fillId="9" borderId="23" xfId="3" applyFont="1" applyFill="1" applyBorder="1" applyAlignment="1">
      <alignment horizontal="left" vertical="top" wrapText="1" indent="2"/>
    </xf>
    <xf numFmtId="0" fontId="51" fillId="11" borderId="3" xfId="7" applyFont="1" applyFill="1" applyBorder="1" applyAlignment="1">
      <alignment horizontal="left" vertical="top"/>
    </xf>
    <xf numFmtId="49" fontId="8" fillId="9" borderId="3" xfId="3" applyNumberFormat="1" applyFont="1" applyFill="1" applyBorder="1" applyAlignment="1">
      <alignment horizontal="center" vertical="top"/>
    </xf>
    <xf numFmtId="0" fontId="8" fillId="9" borderId="2" xfId="10" applyFont="1" applyFill="1" applyBorder="1" applyAlignment="1">
      <alignment horizontal="left" vertical="top" wrapText="1"/>
    </xf>
    <xf numFmtId="0" fontId="8" fillId="9" borderId="2" xfId="0" applyFont="1" applyFill="1" applyBorder="1" applyAlignment="1">
      <alignment horizontal="left" vertical="top" wrapText="1" indent="2"/>
    </xf>
    <xf numFmtId="0" fontId="8" fillId="9" borderId="0" xfId="0" applyFont="1" applyFill="1" applyBorder="1" applyAlignment="1">
      <alignment horizontal="left" vertical="top" wrapText="1" indent="2"/>
    </xf>
    <xf numFmtId="0" fontId="6" fillId="9" borderId="3" xfId="3" applyFont="1" applyFill="1" applyBorder="1" applyAlignment="1">
      <alignment horizontal="left" vertical="top" wrapText="1"/>
    </xf>
    <xf numFmtId="0" fontId="8" fillId="9" borderId="3" xfId="0" applyFont="1" applyFill="1" applyBorder="1" applyAlignment="1">
      <alignment horizontal="left" vertical="top" wrapText="1"/>
    </xf>
    <xf numFmtId="0" fontId="8" fillId="9" borderId="15" xfId="0" applyFont="1" applyFill="1" applyBorder="1" applyAlignment="1">
      <alignment horizontal="left" vertical="top" wrapText="1"/>
    </xf>
    <xf numFmtId="0" fontId="8" fillId="9" borderId="0" xfId="0" applyFont="1" applyFill="1" applyBorder="1" applyAlignment="1">
      <alignment horizontal="left" vertical="top" wrapText="1"/>
    </xf>
    <xf numFmtId="0" fontId="8" fillId="9" borderId="23" xfId="0" applyFont="1" applyFill="1" applyBorder="1" applyAlignment="1">
      <alignment horizontal="left" vertical="top" wrapText="1"/>
    </xf>
    <xf numFmtId="0" fontId="7" fillId="9" borderId="0" xfId="0" applyFont="1" applyFill="1" applyBorder="1" applyAlignment="1">
      <alignment horizontal="left" vertical="top" wrapText="1"/>
    </xf>
    <xf numFmtId="0" fontId="8" fillId="9" borderId="2" xfId="0" applyFont="1" applyFill="1" applyBorder="1" applyAlignment="1">
      <alignment horizontal="left" vertical="top" wrapText="1"/>
    </xf>
    <xf numFmtId="0" fontId="8" fillId="9" borderId="21" xfId="3" applyFont="1" applyFill="1" applyBorder="1" applyAlignment="1">
      <alignment horizontal="left" vertical="center"/>
    </xf>
    <xf numFmtId="0" fontId="8" fillId="9" borderId="28" xfId="3" applyFont="1" applyFill="1" applyBorder="1" applyAlignment="1">
      <alignment horizontal="center" vertical="top"/>
    </xf>
    <xf numFmtId="0" fontId="8" fillId="9" borderId="18" xfId="3" applyFont="1" applyFill="1" applyBorder="1" applyAlignment="1">
      <alignment horizontal="center" vertical="top"/>
    </xf>
    <xf numFmtId="0" fontId="6" fillId="9" borderId="18" xfId="3" applyFont="1" applyFill="1" applyBorder="1" applyAlignment="1">
      <alignment horizontal="center" vertical="top"/>
    </xf>
    <xf numFmtId="0" fontId="12" fillId="9" borderId="18" xfId="0" applyFont="1" applyFill="1" applyBorder="1" applyAlignment="1">
      <alignment horizontal="left" vertical="top" wrapText="1"/>
    </xf>
    <xf numFmtId="0" fontId="8" fillId="9" borderId="18" xfId="7" applyFont="1" applyFill="1" applyBorder="1" applyAlignment="1">
      <alignment horizontal="left" vertical="top" wrapText="1"/>
    </xf>
    <xf numFmtId="0" fontId="6" fillId="9" borderId="18" xfId="3" applyFont="1" applyFill="1" applyBorder="1" applyAlignment="1">
      <alignment horizontal="left" vertical="top" wrapText="1" indent="2"/>
    </xf>
    <xf numFmtId="0" fontId="6" fillId="9" borderId="19" xfId="3" applyFont="1" applyFill="1" applyBorder="1" applyAlignment="1">
      <alignment horizontal="left" vertical="top" wrapText="1" indent="2"/>
    </xf>
    <xf numFmtId="0" fontId="7" fillId="9" borderId="18" xfId="7" applyFont="1" applyFill="1" applyBorder="1" applyAlignment="1">
      <alignment horizontal="left" vertical="top" wrapText="1" indent="2"/>
    </xf>
    <xf numFmtId="0" fontId="7" fillId="9" borderId="20" xfId="7" applyFont="1" applyFill="1" applyBorder="1" applyAlignment="1">
      <alignment horizontal="left" vertical="top" wrapText="1" indent="2"/>
    </xf>
    <xf numFmtId="0" fontId="7" fillId="9" borderId="25" xfId="7" applyFont="1" applyFill="1" applyBorder="1" applyAlignment="1">
      <alignment horizontal="left" vertical="top" wrapText="1" indent="2"/>
    </xf>
    <xf numFmtId="0" fontId="26" fillId="12" borderId="10" xfId="3" applyFont="1" applyFill="1" applyBorder="1" applyAlignment="1">
      <alignment horizontal="center" vertical="center" wrapText="1"/>
    </xf>
    <xf numFmtId="0" fontId="26" fillId="12" borderId="3" xfId="3" applyFont="1" applyFill="1" applyBorder="1" applyAlignment="1">
      <alignment horizontal="center" vertical="center" wrapText="1"/>
    </xf>
    <xf numFmtId="0" fontId="26" fillId="12" borderId="5" xfId="3" applyFont="1" applyFill="1" applyBorder="1" applyAlignment="1">
      <alignment horizontal="center" vertical="center" wrapText="1"/>
    </xf>
    <xf numFmtId="0" fontId="18" fillId="10" borderId="3" xfId="7" applyFont="1" applyFill="1" applyBorder="1" applyAlignment="1">
      <alignment horizontal="center" vertical="top" wrapText="1"/>
    </xf>
    <xf numFmtId="0" fontId="12" fillId="7" borderId="3" xfId="7" applyFont="1" applyFill="1" applyBorder="1" applyAlignment="1">
      <alignment horizontal="center" vertical="top" wrapText="1"/>
    </xf>
    <xf numFmtId="0" fontId="18" fillId="11" borderId="3" xfId="7" applyFont="1" applyFill="1" applyBorder="1" applyAlignment="1">
      <alignment horizontal="center" vertical="top" wrapText="1"/>
    </xf>
    <xf numFmtId="0" fontId="34" fillId="9" borderId="0" xfId="3" applyFont="1" applyFill="1" applyBorder="1" applyAlignment="1">
      <alignment vertical="top" wrapText="1"/>
    </xf>
    <xf numFmtId="0" fontId="18" fillId="6" borderId="3" xfId="7" applyFont="1" applyFill="1" applyBorder="1" applyAlignment="1">
      <alignment horizontal="center" vertical="top" wrapText="1"/>
    </xf>
    <xf numFmtId="0" fontId="8" fillId="0" borderId="0" xfId="3" applyFont="1" applyBorder="1" applyAlignment="1">
      <alignment horizontal="left" vertical="center" wrapText="1"/>
    </xf>
    <xf numFmtId="0" fontId="8" fillId="0" borderId="0" xfId="3" applyFont="1" applyAlignment="1">
      <alignment horizontal="left" vertical="center" wrapText="1"/>
    </xf>
  </cellXfs>
  <cellStyles count="12">
    <cellStyle name="Currency" xfId="11" builtinId="4"/>
    <cellStyle name="Hyperlink" xfId="10" builtinId="8"/>
    <cellStyle name="Hyperlink 2" xfId="6"/>
    <cellStyle name="Normal" xfId="0" builtinId="0"/>
    <cellStyle name="Normal 2" xfId="1"/>
    <cellStyle name="Normal 2 2" xfId="3"/>
    <cellStyle name="Normal 3" xfId="2"/>
    <cellStyle name="Normal 4" xfId="4"/>
    <cellStyle name="Normal 5" xfId="5"/>
    <cellStyle name="Normal 5 2" xfId="7"/>
    <cellStyle name="Output" xfId="8" builtinId="21"/>
    <cellStyle name="Warning Text" xfId="9" builtinId="11"/>
  </cellStyles>
  <dxfs count="8">
    <dxf>
      <fill>
        <patternFill>
          <bgColor rgb="FF00B050"/>
        </patternFill>
      </fill>
    </dxf>
    <dxf>
      <fill>
        <patternFill>
          <bgColor rgb="FFFF00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2EFDB"/>
      <color rgb="FFFFE8E7"/>
      <color rgb="FFE1CCF0"/>
      <color rgb="FF4472C4"/>
      <color rgb="FF538234"/>
      <color rgb="FFD9E1F2"/>
      <color rgb="FFFFB9B9"/>
      <color rgb="FF66FFFF"/>
      <color rgb="FFECD2FE"/>
      <color rgb="FF10E0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2.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3917</xdr:colOff>
      <xdr:row>3</xdr:row>
      <xdr:rowOff>11757</xdr:rowOff>
    </xdr:from>
    <xdr:to>
      <xdr:col>19</xdr:col>
      <xdr:colOff>594294</xdr:colOff>
      <xdr:row>49</xdr:row>
      <xdr:rowOff>56987</xdr:rowOff>
    </xdr:to>
    <xdr:sp macro="" textlink="">
      <xdr:nvSpPr>
        <xdr:cNvPr id="2" name="TextBox 1">
          <a:extLst>
            <a:ext uri="{FF2B5EF4-FFF2-40B4-BE49-F238E27FC236}">
              <a16:creationId xmlns:a16="http://schemas.microsoft.com/office/drawing/2014/main" xmlns="" id="{B39EEE7B-5843-5D44-9C3C-ECF761AB7109}"/>
            </a:ext>
          </a:extLst>
        </xdr:cNvPr>
        <xdr:cNvSpPr txBox="1"/>
      </xdr:nvSpPr>
      <xdr:spPr>
        <a:xfrm>
          <a:off x="598212" y="736308"/>
          <a:ext cx="11287685" cy="7534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a:solidFill>
                <a:schemeClr val="dk1"/>
              </a:solidFill>
              <a:effectLst/>
              <a:latin typeface="+mj-lt"/>
              <a:ea typeface="+mn-ea"/>
              <a:cs typeface="+mn-cs"/>
            </a:rPr>
            <a:t>The Malaria Surveillance</a:t>
          </a:r>
          <a:r>
            <a:rPr lang="en-CA" sz="1100" baseline="0">
              <a:solidFill>
                <a:schemeClr val="dk1"/>
              </a:solidFill>
              <a:effectLst/>
              <a:latin typeface="+mj-lt"/>
              <a:ea typeface="+mn-ea"/>
              <a:cs typeface="+mn-cs"/>
            </a:rPr>
            <a:t> Assessment Framework Tool consists of 4 main objectives for assessing surveillance; 1</a:t>
          </a:r>
          <a:r>
            <a:rPr lang="en-CA" sz="1100" b="1" baseline="0">
              <a:solidFill>
                <a:srgbClr val="0070C0"/>
              </a:solidFill>
              <a:effectLst/>
              <a:latin typeface="+mj-lt"/>
              <a:ea typeface="+mn-ea"/>
              <a:cs typeface="+mn-cs"/>
            </a:rPr>
            <a:t>. Performance</a:t>
          </a:r>
          <a:r>
            <a:rPr lang="en-CA" sz="1100" baseline="0">
              <a:solidFill>
                <a:schemeClr val="dk1"/>
              </a:solidFill>
              <a:effectLst/>
              <a:latin typeface="+mj-lt"/>
              <a:ea typeface="+mn-ea"/>
              <a:cs typeface="+mn-cs"/>
            </a:rPr>
            <a:t>, 2. </a:t>
          </a:r>
          <a:r>
            <a:rPr lang="en-CA" sz="1100" b="1" baseline="0">
              <a:solidFill>
                <a:schemeClr val="accent6">
                  <a:lumMod val="75000"/>
                </a:schemeClr>
              </a:solidFill>
              <a:effectLst/>
              <a:latin typeface="+mj-lt"/>
              <a:ea typeface="+mn-ea"/>
              <a:cs typeface="+mn-cs"/>
            </a:rPr>
            <a:t>Context and infrastructure</a:t>
          </a:r>
          <a:r>
            <a:rPr lang="en-CA" sz="1100" baseline="0">
              <a:solidFill>
                <a:schemeClr val="dk1"/>
              </a:solidFill>
              <a:effectLst/>
              <a:latin typeface="+mj-lt"/>
              <a:ea typeface="+mn-ea"/>
              <a:cs typeface="+mn-cs"/>
            </a:rPr>
            <a:t>, 3. </a:t>
          </a:r>
          <a:r>
            <a:rPr lang="en-CA" sz="1100" b="1" baseline="0">
              <a:solidFill>
                <a:srgbClr val="7030A0"/>
              </a:solidFill>
              <a:effectLst/>
              <a:latin typeface="+mj-lt"/>
              <a:ea typeface="+mn-ea"/>
              <a:cs typeface="+mn-cs"/>
            </a:rPr>
            <a:t>Technical and Processes </a:t>
          </a:r>
          <a:r>
            <a:rPr lang="en-CA" sz="1100" baseline="0">
              <a:solidFill>
                <a:schemeClr val="dk1"/>
              </a:solidFill>
              <a:effectLst/>
              <a:latin typeface="+mj-lt"/>
              <a:ea typeface="+mn-ea"/>
              <a:cs typeface="+mn-cs"/>
            </a:rPr>
            <a:t>and 4. </a:t>
          </a:r>
          <a:r>
            <a:rPr lang="en-CA" sz="1100" b="1" baseline="0">
              <a:solidFill>
                <a:srgbClr val="FF0000"/>
              </a:solidFill>
              <a:effectLst/>
              <a:latin typeface="+mj-lt"/>
              <a:ea typeface="+mn-ea"/>
              <a:cs typeface="+mn-cs"/>
            </a:rPr>
            <a:t>Behaviour</a:t>
          </a:r>
          <a:r>
            <a:rPr lang="en-CA" sz="1100" baseline="0">
              <a:solidFill>
                <a:schemeClr val="dk1"/>
              </a:solidFill>
              <a:effectLst/>
              <a:latin typeface="+mj-lt"/>
              <a:ea typeface="+mn-ea"/>
              <a:cs typeface="+mn-cs"/>
            </a:rPr>
            <a:t>. Each objective has a set of associated sub-objectives and indicators. There are a total of  85 indicators which are categorised as either priority (to be included in all assessments) or optional (to be included depending on country context and interest).</a:t>
          </a:r>
          <a:r>
            <a:rPr lang="en-CA" sz="1100" b="0" baseline="0">
              <a:solidFill>
                <a:schemeClr val="dk1"/>
              </a:solidFill>
              <a:effectLst/>
              <a:latin typeface="+mj-lt"/>
              <a:ea typeface="+mn-ea"/>
              <a:cs typeface="+mn-cs"/>
            </a:rPr>
            <a:t>The full list of objectives, sub-objectives and indicators are shown in the "Full indicator list" which includes the</a:t>
          </a:r>
          <a:r>
            <a:rPr lang="en-CA" sz="1100" b="0" baseline="0">
              <a:solidFill>
                <a:schemeClr val="dk1"/>
              </a:solidFill>
              <a:effectLst/>
              <a:latin typeface="+mn-lt"/>
              <a:ea typeface="+mn-ea"/>
              <a:cs typeface="+mn-cs"/>
            </a:rPr>
            <a:t> </a:t>
          </a:r>
          <a:r>
            <a:rPr lang="en-CA" sz="1100" b="0" baseline="0">
              <a:solidFill>
                <a:schemeClr val="dk1"/>
              </a:solidFill>
              <a:effectLst/>
              <a:latin typeface="+mj-lt"/>
              <a:ea typeface="+mn-ea"/>
              <a:cs typeface="+mn-cs"/>
            </a:rPr>
            <a:t>prioritisation category, indicator number, name, description, data collection and review method, output analysis type and disaggregation. </a:t>
          </a:r>
        </a:p>
        <a:p>
          <a:pPr marL="0" marR="0" lvl="0" indent="0" defTabSz="914400" eaLnBrk="1" fontAlgn="auto" latinLnBrk="0" hangingPunct="1">
            <a:lnSpc>
              <a:spcPct val="100000"/>
            </a:lnSpc>
            <a:spcBef>
              <a:spcPts val="0"/>
            </a:spcBef>
            <a:spcAft>
              <a:spcPts val="0"/>
            </a:spcAft>
            <a:buClrTx/>
            <a:buSzTx/>
            <a:buFontTx/>
            <a:buNone/>
            <a:tabLst/>
            <a:defRPr/>
          </a:pPr>
          <a:endParaRPr lang="en-CA" sz="1100" baseline="0">
            <a:solidFill>
              <a:schemeClr val="dk1"/>
            </a:solidFill>
            <a:effectLst/>
            <a:latin typeface="+mj-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CA" sz="1100" baseline="0">
              <a:solidFill>
                <a:schemeClr val="dk1"/>
              </a:solidFill>
              <a:effectLst/>
              <a:latin typeface="+mj-lt"/>
              <a:ea typeface="+mn-ea"/>
              <a:cs typeface="+mn-cs"/>
            </a:rPr>
            <a:t>This tool should be used to define the scope of an assessment which involves the selection of 1. surveillance/malaria control strategies and 2. indicators</a:t>
          </a:r>
        </a:p>
        <a:p>
          <a:pPr marL="0" marR="0" lvl="0" indent="0" defTabSz="914400" eaLnBrk="1" fontAlgn="auto" latinLnBrk="0" hangingPunct="1">
            <a:lnSpc>
              <a:spcPct val="100000"/>
            </a:lnSpc>
            <a:spcBef>
              <a:spcPts val="0"/>
            </a:spcBef>
            <a:spcAft>
              <a:spcPts val="0"/>
            </a:spcAft>
            <a:buClrTx/>
            <a:buSzTx/>
            <a:buFontTx/>
            <a:buNone/>
            <a:tabLst/>
            <a:defRPr/>
          </a:pPr>
          <a:endParaRPr lang="en-CA" sz="1100" baseline="0">
            <a:solidFill>
              <a:schemeClr val="dk1"/>
            </a:solidFill>
            <a:effectLst/>
            <a:latin typeface="+mj-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CA" sz="1100" b="1" baseline="0">
              <a:solidFill>
                <a:schemeClr val="dk1"/>
              </a:solidFill>
              <a:effectLst/>
              <a:latin typeface="+mj-lt"/>
              <a:ea typeface="+mn-ea"/>
              <a:cs typeface="+mn-cs"/>
            </a:rPr>
            <a:t>Step 1: </a:t>
          </a:r>
          <a:r>
            <a:rPr lang="en-CA" sz="1100" baseline="0">
              <a:solidFill>
                <a:schemeClr val="dk1"/>
              </a:solidFill>
              <a:effectLst/>
              <a:latin typeface="+mj-lt"/>
              <a:ea typeface="+mn-ea"/>
              <a:cs typeface="+mn-cs"/>
            </a:rPr>
            <a:t>Select the case surveillance strategy (burden reduction, elimination or both) and the malaria control strategies that are implemented in the country using the strategies tab</a:t>
          </a:r>
        </a:p>
        <a:p>
          <a:pPr marL="0" marR="0" lvl="0" indent="0" defTabSz="914400" eaLnBrk="1" fontAlgn="auto" latinLnBrk="0" hangingPunct="1">
            <a:lnSpc>
              <a:spcPct val="100000"/>
            </a:lnSpc>
            <a:spcBef>
              <a:spcPts val="0"/>
            </a:spcBef>
            <a:spcAft>
              <a:spcPts val="0"/>
            </a:spcAft>
            <a:buClrTx/>
            <a:buSzTx/>
            <a:buFontTx/>
            <a:buNone/>
            <a:tabLst/>
            <a:defRPr/>
          </a:pPr>
          <a:r>
            <a:rPr lang="en-CA" sz="1100" b="1" baseline="0">
              <a:solidFill>
                <a:schemeClr val="dk1"/>
              </a:solidFill>
              <a:effectLst/>
              <a:latin typeface="+mj-lt"/>
              <a:ea typeface="+mn-ea"/>
              <a:cs typeface="+mn-cs"/>
            </a:rPr>
            <a:t>Step 2: </a:t>
          </a:r>
          <a:r>
            <a:rPr lang="en-CA" sz="1100" b="0" baseline="0">
              <a:solidFill>
                <a:schemeClr val="dk1"/>
              </a:solidFill>
              <a:effectLst/>
              <a:latin typeface="+mj-lt"/>
              <a:ea typeface="+mn-ea"/>
              <a:cs typeface="+mn-cs"/>
            </a:rPr>
            <a:t>Select the indicators to be included in the assessment. </a:t>
          </a:r>
        </a:p>
        <a:p>
          <a:pPr marL="0" marR="0" lvl="0" indent="0" defTabSz="914400" eaLnBrk="1" fontAlgn="auto" latinLnBrk="0" hangingPunct="1">
            <a:lnSpc>
              <a:spcPct val="100000"/>
            </a:lnSpc>
            <a:spcBef>
              <a:spcPts val="0"/>
            </a:spcBef>
            <a:spcAft>
              <a:spcPts val="0"/>
            </a:spcAft>
            <a:buClrTx/>
            <a:buSzTx/>
            <a:buFontTx/>
            <a:buNone/>
            <a:tabLst/>
            <a:defRPr/>
          </a:pPr>
          <a:endParaRPr lang="en-CA" sz="1100" baseline="0">
            <a:solidFill>
              <a:schemeClr val="dk1"/>
            </a:solidFill>
            <a:effectLst/>
            <a:latin typeface="+mj-lt"/>
            <a:ea typeface="+mn-ea"/>
            <a:cs typeface="+mn-cs"/>
          </a:endParaRPr>
        </a:p>
        <a:p>
          <a:r>
            <a:rPr lang="en-CA" sz="1100" u="sng" baseline="0">
              <a:solidFill>
                <a:schemeClr val="dk1"/>
              </a:solidFill>
              <a:effectLst/>
              <a:latin typeface="+mj-lt"/>
              <a:ea typeface="+mn-ea"/>
              <a:cs typeface="+mn-cs"/>
            </a:rPr>
            <a:t>For indicator selection please complete the following steps below:</a:t>
          </a:r>
        </a:p>
        <a:p>
          <a:r>
            <a:rPr lang="en-CA" sz="1100" u="none" baseline="0">
              <a:solidFill>
                <a:schemeClr val="dk1"/>
              </a:solidFill>
              <a:effectLst/>
              <a:latin typeface="+mn-lt"/>
              <a:ea typeface="+mn-ea"/>
              <a:cs typeface="+mn-cs"/>
            </a:rPr>
            <a:t>1 -</a:t>
          </a:r>
          <a:r>
            <a:rPr lang="en-CA" sz="1100" b="1" u="none" baseline="0">
              <a:solidFill>
                <a:schemeClr val="dk1"/>
              </a:solidFill>
              <a:effectLst/>
              <a:latin typeface="+mn-lt"/>
              <a:ea typeface="+mn-ea"/>
              <a:cs typeface="+mn-cs"/>
            </a:rPr>
            <a:t> Select objective </a:t>
          </a:r>
          <a:r>
            <a:rPr lang="en-CA" sz="1100" u="none" baseline="0">
              <a:solidFill>
                <a:schemeClr val="dk1"/>
              </a:solidFill>
              <a:effectLst/>
              <a:latin typeface="+mn-lt"/>
              <a:ea typeface="+mn-ea"/>
              <a:cs typeface="+mn-cs"/>
            </a:rPr>
            <a:t>using the filter in column C e.g 1</a:t>
          </a:r>
        </a:p>
        <a:p>
          <a:r>
            <a:rPr lang="en-CA" sz="1100" u="none" baseline="0">
              <a:solidFill>
                <a:schemeClr val="dk1"/>
              </a:solidFill>
              <a:effectLst/>
              <a:latin typeface="+mn-lt"/>
              <a:ea typeface="+mn-ea"/>
              <a:cs typeface="+mn-cs"/>
            </a:rPr>
            <a:t>2 - </a:t>
          </a:r>
          <a:r>
            <a:rPr lang="en-CA" sz="1100" b="1" u="none" baseline="0">
              <a:solidFill>
                <a:schemeClr val="dk1"/>
              </a:solidFill>
              <a:effectLst/>
              <a:latin typeface="+mn-lt"/>
              <a:ea typeface="+mn-ea"/>
              <a:cs typeface="+mn-cs"/>
            </a:rPr>
            <a:t>Select the sub-objective </a:t>
          </a:r>
          <a:r>
            <a:rPr lang="en-CA" sz="1100" u="none" baseline="0">
              <a:solidFill>
                <a:schemeClr val="dk1"/>
              </a:solidFill>
              <a:effectLst/>
              <a:latin typeface="+mn-lt"/>
              <a:ea typeface="+mn-ea"/>
              <a:cs typeface="+mn-cs"/>
            </a:rPr>
            <a:t>using the filter in coulmn D e.g 1.1</a:t>
          </a:r>
        </a:p>
        <a:p>
          <a:r>
            <a:rPr lang="en-CA" sz="1100" baseline="0">
              <a:solidFill>
                <a:schemeClr val="dk1"/>
              </a:solidFill>
              <a:effectLst/>
              <a:latin typeface="+mn-lt"/>
              <a:ea typeface="+mn-ea"/>
              <a:cs typeface="+mn-cs"/>
            </a:rPr>
            <a:t>3 - </a:t>
          </a:r>
          <a:r>
            <a:rPr lang="en-CA" sz="1100" b="1" baseline="0">
              <a:solidFill>
                <a:schemeClr val="dk1"/>
              </a:solidFill>
              <a:effectLst/>
              <a:latin typeface="+mn-lt"/>
              <a:ea typeface="+mn-ea"/>
              <a:cs typeface="+mn-cs"/>
            </a:rPr>
            <a:t>Select the case surveillance strategy</a:t>
          </a:r>
          <a:r>
            <a:rPr lang="en-CA" sz="1100" baseline="0">
              <a:solidFill>
                <a:schemeClr val="dk1"/>
              </a:solidFill>
              <a:effectLst/>
              <a:latin typeface="+mn-lt"/>
              <a:ea typeface="+mn-ea"/>
              <a:cs typeface="+mn-cs"/>
            </a:rPr>
            <a:t>. Under case surveillance strategies, use the filters to select the epidemiological setting of your country as either "burden reduction" or "elimination". If your country has a mix of high and low malaria burden and therefore both burden reduction and elimination settings apply then both settings should be selected. Please note that some indicators are only relevant if an additional malaria control strategy is also carried out e.g burden reduction + SMC. In this example, this indicator should only be selected in a burden reduction setting if SMC is also implemented in the country. </a:t>
          </a:r>
        </a:p>
        <a:p>
          <a:pPr eaLnBrk="1" fontAlgn="auto" latinLnBrk="0" hangingPunct="1"/>
          <a:r>
            <a:rPr lang="en-CA" sz="1100" baseline="0">
              <a:solidFill>
                <a:schemeClr val="dk1"/>
              </a:solidFill>
              <a:effectLst/>
              <a:latin typeface="+mn-lt"/>
              <a:ea typeface="+mn-ea"/>
              <a:cs typeface="+mn-cs"/>
            </a:rPr>
            <a:t>4 - </a:t>
          </a:r>
          <a:r>
            <a:rPr lang="en-CA" sz="1100" b="1" baseline="0">
              <a:solidFill>
                <a:schemeClr val="dk1"/>
              </a:solidFill>
              <a:effectLst/>
              <a:latin typeface="+mn-lt"/>
              <a:ea typeface="+mn-ea"/>
              <a:cs typeface="+mn-cs"/>
            </a:rPr>
            <a:t>Review and select indicators based on priority category or through review. </a:t>
          </a:r>
          <a:r>
            <a:rPr lang="en-CA" sz="1100" b="0" baseline="0">
              <a:solidFill>
                <a:schemeClr val="dk1"/>
              </a:solidFill>
              <a:effectLst/>
              <a:latin typeface="+mn-lt"/>
              <a:ea typeface="+mn-ea"/>
              <a:cs typeface="+mn-cs"/>
            </a:rPr>
            <a:t>T</a:t>
          </a:r>
          <a:r>
            <a:rPr lang="en-CA" sz="1100" baseline="0">
              <a:solidFill>
                <a:schemeClr val="dk1"/>
              </a:solidFill>
              <a:effectLst/>
              <a:latin typeface="+mn-lt"/>
              <a:ea typeface="+mn-ea"/>
              <a:cs typeface="+mn-cs"/>
            </a:rPr>
            <a:t>he indicators that have been filtered based on the case surveillance strategy can now be filtered further using the "priority" column. </a:t>
          </a:r>
          <a:endParaRPr lang="en-US">
            <a:effectLst/>
            <a:latin typeface="+mn-lt"/>
          </a:endParaRPr>
        </a:p>
        <a:p>
          <a:pPr eaLnBrk="1" fontAlgn="auto" latinLnBrk="0" hangingPunct="1"/>
          <a:r>
            <a:rPr lang="en-CA" sz="1100" baseline="0">
              <a:solidFill>
                <a:schemeClr val="dk1"/>
              </a:solidFill>
              <a:effectLst/>
              <a:latin typeface="+mn-lt"/>
              <a:ea typeface="+mn-ea"/>
              <a:cs typeface="+mn-cs"/>
            </a:rPr>
            <a:t>      - </a:t>
          </a:r>
          <a:r>
            <a:rPr lang="en-CA" sz="1100" b="1" baseline="0">
              <a:solidFill>
                <a:schemeClr val="dk1"/>
              </a:solidFill>
              <a:effectLst/>
              <a:latin typeface="+mn-lt"/>
              <a:ea typeface="+mn-ea"/>
              <a:cs typeface="+mn-cs"/>
            </a:rPr>
            <a:t>Priority</a:t>
          </a:r>
          <a:r>
            <a:rPr lang="en-CA" sz="1100" baseline="0">
              <a:solidFill>
                <a:schemeClr val="dk1"/>
              </a:solidFill>
              <a:effectLst/>
              <a:latin typeface="+mn-lt"/>
              <a:ea typeface="+mn-ea"/>
              <a:cs typeface="+mn-cs"/>
            </a:rPr>
            <a:t> = required for all assessments. If you plan to carry out a rapid assessment then select only priority indicators. </a:t>
          </a:r>
          <a:endParaRPr lang="en-US">
            <a:effectLst/>
            <a:latin typeface="+mn-lt"/>
          </a:endParaRPr>
        </a:p>
        <a:p>
          <a:pPr eaLnBrk="1" fontAlgn="auto" latinLnBrk="0" hangingPunct="1"/>
          <a:r>
            <a:rPr lang="en-CA" sz="1100" baseline="0">
              <a:solidFill>
                <a:schemeClr val="dk1"/>
              </a:solidFill>
              <a:effectLst/>
              <a:latin typeface="+mn-lt"/>
              <a:ea typeface="+mn-ea"/>
              <a:cs typeface="+mn-cs"/>
            </a:rPr>
            <a:t>      - </a:t>
          </a:r>
          <a:r>
            <a:rPr lang="en-CA" sz="1100" b="1" baseline="0">
              <a:solidFill>
                <a:schemeClr val="dk1"/>
              </a:solidFill>
              <a:effectLst/>
              <a:latin typeface="+mn-lt"/>
              <a:ea typeface="+mn-ea"/>
              <a:cs typeface="+mn-cs"/>
            </a:rPr>
            <a:t>Optional</a:t>
          </a:r>
          <a:r>
            <a:rPr lang="en-CA" sz="1100" baseline="0">
              <a:solidFill>
                <a:schemeClr val="dk1"/>
              </a:solidFill>
              <a:effectLst/>
              <a:latin typeface="+mn-lt"/>
              <a:ea typeface="+mn-ea"/>
              <a:cs typeface="+mn-cs"/>
            </a:rPr>
            <a:t> </a:t>
          </a:r>
          <a:r>
            <a:rPr lang="en-CA" sz="1100" b="0" baseline="0">
              <a:solidFill>
                <a:schemeClr val="dk1"/>
              </a:solidFill>
              <a:effectLst/>
              <a:latin typeface="+mn-lt"/>
              <a:ea typeface="+mn-ea"/>
              <a:cs typeface="+mn-cs"/>
            </a:rPr>
            <a:t>= these indicators can be added on top of priority indicators for tailored assesments. Countries should review the optional indicators and decide whether they are useful for       </a:t>
          </a:r>
        </a:p>
        <a:p>
          <a:pPr eaLnBrk="1" fontAlgn="auto" latinLnBrk="0" hangingPunct="1"/>
          <a:r>
            <a:rPr lang="en-CA" sz="1100" b="0" baseline="0">
              <a:solidFill>
                <a:schemeClr val="dk1"/>
              </a:solidFill>
              <a:effectLst/>
              <a:latin typeface="+mn-lt"/>
              <a:ea typeface="+mn-ea"/>
              <a:cs typeface="+mn-cs"/>
            </a:rPr>
            <a:t>        assessing surveillance in the country context.</a:t>
          </a:r>
          <a:endParaRPr lang="en-US">
            <a:effectLst/>
            <a:latin typeface="+mn-lt"/>
          </a:endParaRPr>
        </a:p>
        <a:p>
          <a:pPr eaLnBrk="1" fontAlgn="auto" latinLnBrk="0" hangingPunct="1"/>
          <a:r>
            <a:rPr lang="en-CA" sz="1100" b="0" baseline="0">
              <a:solidFill>
                <a:schemeClr val="dk1"/>
              </a:solidFill>
              <a:effectLst/>
              <a:latin typeface="+mn-lt"/>
              <a:ea typeface="+mn-ea"/>
              <a:cs typeface="+mn-cs"/>
            </a:rPr>
            <a:t>      - </a:t>
          </a:r>
          <a:r>
            <a:rPr lang="en-CA" sz="1100" b="1" baseline="0">
              <a:solidFill>
                <a:schemeClr val="dk1"/>
              </a:solidFill>
              <a:effectLst/>
              <a:latin typeface="+mn-lt"/>
              <a:ea typeface="+mn-ea"/>
              <a:cs typeface="+mn-cs"/>
            </a:rPr>
            <a:t>All indicators</a:t>
          </a:r>
          <a:r>
            <a:rPr lang="en-CA" sz="1100" b="0" baseline="0">
              <a:solidFill>
                <a:schemeClr val="dk1"/>
              </a:solidFill>
              <a:effectLst/>
              <a:latin typeface="+mn-lt"/>
              <a:ea typeface="+mn-ea"/>
              <a:cs typeface="+mn-cs"/>
            </a:rPr>
            <a:t>= comprehensive assessments include all indicators. If you plan to carry out a comprehensive assessment then you do not need to filter because all the indicators will be     </a:t>
          </a:r>
        </a:p>
        <a:p>
          <a:pPr eaLnBrk="1" fontAlgn="auto" latinLnBrk="0" hangingPunct="1"/>
          <a:r>
            <a:rPr lang="en-CA" sz="1100" b="0" baseline="0">
              <a:solidFill>
                <a:schemeClr val="dk1"/>
              </a:solidFill>
              <a:effectLst/>
              <a:latin typeface="+mn-lt"/>
              <a:ea typeface="+mn-ea"/>
              <a:cs typeface="+mn-cs"/>
            </a:rPr>
            <a:t>        included. If you remove some optional indicators this assessment would then become a tailored assessment.</a:t>
          </a:r>
          <a:endParaRPr lang="en-US">
            <a:effectLst/>
            <a:latin typeface="+mn-lt"/>
          </a:endParaRPr>
        </a:p>
        <a:p>
          <a:r>
            <a:rPr lang="en-CA" sz="1100" b="1" baseline="0">
              <a:solidFill>
                <a:schemeClr val="dk1"/>
              </a:solidFill>
              <a:effectLst/>
              <a:latin typeface="+mn-lt"/>
              <a:ea typeface="+mn-ea"/>
              <a:cs typeface="+mn-cs"/>
            </a:rPr>
            <a:t>To select an indicator, select "yes" from the "Indicator selected" column (column P). This will automatically select the questions associated with these indicators in the Question Bank. For the Desk Review the indicator numbers of the selected indicators should be used to select the Desk Review content.</a:t>
          </a:r>
        </a:p>
        <a:p>
          <a:r>
            <a:rPr lang="en-CA" sz="1100" b="1" baseline="0">
              <a:solidFill>
                <a:srgbClr val="FF0000"/>
              </a:solidFill>
              <a:effectLst/>
              <a:latin typeface="+mj-lt"/>
              <a:ea typeface="+mn-ea"/>
              <a:cs typeface="+mn-cs"/>
            </a:rPr>
            <a:t>Repeat the process above for each objective and sub-objective</a:t>
          </a:r>
        </a:p>
        <a:p>
          <a:pPr marL="0" marR="0" indent="0" defTabSz="914400" eaLnBrk="1" fontAlgn="auto" latinLnBrk="0" hangingPunct="1">
            <a:lnSpc>
              <a:spcPct val="100000"/>
            </a:lnSpc>
            <a:spcBef>
              <a:spcPts val="0"/>
            </a:spcBef>
            <a:spcAft>
              <a:spcPts val="0"/>
            </a:spcAft>
            <a:buClrTx/>
            <a:buSzTx/>
            <a:buFontTx/>
            <a:buNone/>
            <a:tabLst/>
            <a:defRPr/>
          </a:pPr>
          <a:r>
            <a:rPr lang="en-CA" sz="1100" baseline="0">
              <a:solidFill>
                <a:schemeClr val="dk1"/>
              </a:solidFill>
              <a:effectLst/>
              <a:latin typeface="+mn-lt"/>
              <a:ea typeface="+mn-ea"/>
              <a:cs typeface="+mn-cs"/>
            </a:rPr>
            <a:t>5 - </a:t>
          </a:r>
          <a:r>
            <a:rPr lang="en-CA" sz="1100" b="1" baseline="0">
              <a:solidFill>
                <a:schemeClr val="dk1"/>
              </a:solidFill>
              <a:effectLst/>
              <a:latin typeface="+mn-lt"/>
              <a:ea typeface="+mn-ea"/>
              <a:cs typeface="+mn-cs"/>
            </a:rPr>
            <a:t>Review indicators relevant to other malaria surveillance strategies. </a:t>
          </a:r>
          <a:r>
            <a:rPr lang="en-CA" sz="1100" b="0" baseline="0">
              <a:solidFill>
                <a:schemeClr val="dk1"/>
              </a:solidFill>
              <a:effectLst/>
              <a:latin typeface="+mn-lt"/>
              <a:ea typeface="+mn-ea"/>
              <a:cs typeface="+mn-cs"/>
            </a:rPr>
            <a:t>Some indicators are relevant to </a:t>
          </a:r>
          <a:r>
            <a:rPr lang="en-CA" sz="1100" b="1" baseline="0">
              <a:solidFill>
                <a:srgbClr val="0070C0"/>
              </a:solidFill>
              <a:effectLst/>
              <a:latin typeface="+mn-lt"/>
              <a:ea typeface="+mn-ea"/>
              <a:cs typeface="+mn-cs"/>
            </a:rPr>
            <a:t>all malaria control strategies*. </a:t>
          </a:r>
          <a:r>
            <a:rPr lang="en-CA" sz="1100" b="0" baseline="0">
              <a:solidFill>
                <a:schemeClr val="dk1"/>
              </a:solidFill>
              <a:effectLst/>
              <a:latin typeface="+mn-lt"/>
              <a:ea typeface="+mn-ea"/>
              <a:cs typeface="+mn-cs"/>
            </a:rPr>
            <a:t>If any of these malaria control strategies were selected on the strategies tab then a sub-set of specific priority indicators should be assessed for these strategies. These can be viewed u</a:t>
          </a:r>
          <a:r>
            <a:rPr lang="en-CA" sz="1100" baseline="0">
              <a:solidFill>
                <a:schemeClr val="dk1"/>
              </a:solidFill>
              <a:effectLst/>
              <a:latin typeface="+mn-lt"/>
              <a:ea typeface="+mn-ea"/>
              <a:cs typeface="+mn-cs"/>
            </a:rPr>
            <a:t>nder the column "surveillance of malaria control strategies " by filtering on  "yes".  Since these are all priority indicators they will be already selected as part of the main assessment using the process above. The </a:t>
          </a:r>
          <a:r>
            <a:rPr lang="en-CA" sz="1100" b="1" baseline="0">
              <a:solidFill>
                <a:schemeClr val="dk1"/>
              </a:solidFill>
              <a:effectLst/>
              <a:latin typeface="+mn-lt"/>
              <a:ea typeface="+mn-ea"/>
              <a:cs typeface="+mn-cs"/>
            </a:rPr>
            <a:t>Desk Review </a:t>
          </a:r>
          <a:r>
            <a:rPr lang="en-CA" sz="1100" baseline="0">
              <a:solidFill>
                <a:schemeClr val="dk1"/>
              </a:solidFill>
              <a:effectLst/>
              <a:latin typeface="+mn-lt"/>
              <a:ea typeface="+mn-ea"/>
              <a:cs typeface="+mn-cs"/>
            </a:rPr>
            <a:t>which is the tool used to assess these indicators for these malaria control strategies </a:t>
          </a:r>
          <a:r>
            <a:rPr lang="en-CA" sz="1100" b="0" baseline="0">
              <a:solidFill>
                <a:schemeClr val="dk1"/>
              </a:solidFill>
              <a:effectLst/>
              <a:latin typeface="+mn-lt"/>
              <a:ea typeface="+mn-ea"/>
              <a:cs typeface="+mn-cs"/>
            </a:rPr>
            <a:t>already has a separate tab dedicated to capturing this information.</a:t>
          </a:r>
        </a:p>
        <a:p>
          <a:pPr marL="0" marR="0" indent="0" defTabSz="914400" eaLnBrk="1" fontAlgn="auto" latinLnBrk="0" hangingPunct="1">
            <a:lnSpc>
              <a:spcPct val="100000"/>
            </a:lnSpc>
            <a:spcBef>
              <a:spcPts val="0"/>
            </a:spcBef>
            <a:spcAft>
              <a:spcPts val="0"/>
            </a:spcAft>
            <a:buClrTx/>
            <a:buSzTx/>
            <a:buFontTx/>
            <a:buNone/>
            <a:tabLst/>
            <a:defRPr/>
          </a:pPr>
          <a:endParaRPr lang="en-CA" sz="1100" baseline="0">
            <a:solidFill>
              <a:schemeClr val="dk1"/>
            </a:solidFill>
            <a:effectLst/>
            <a:latin typeface="+mj-lt"/>
            <a:ea typeface="+mn-ea"/>
            <a:cs typeface="+mn-cs"/>
          </a:endParaRPr>
        </a:p>
        <a:p>
          <a:r>
            <a:rPr lang="en-CA" sz="1100" b="1">
              <a:solidFill>
                <a:srgbClr val="0070C0"/>
              </a:solidFill>
              <a:effectLst/>
              <a:latin typeface="+mj-lt"/>
              <a:ea typeface="Calibri" panose="020F0502020204030204" pitchFamily="34" charset="0"/>
              <a:cs typeface="Times New Roman" panose="02020603050405020304" pitchFamily="18" charset="0"/>
            </a:rPr>
            <a:t>* Malaria</a:t>
          </a:r>
          <a:r>
            <a:rPr lang="en-CA" sz="1100" b="1" baseline="0">
              <a:solidFill>
                <a:srgbClr val="0070C0"/>
              </a:solidFill>
              <a:effectLst/>
              <a:latin typeface="+mj-lt"/>
              <a:ea typeface="Calibri" panose="020F0502020204030204" pitchFamily="34" charset="0"/>
              <a:cs typeface="Times New Roman" panose="02020603050405020304" pitchFamily="18" charset="0"/>
            </a:rPr>
            <a:t> control</a:t>
          </a:r>
          <a:r>
            <a:rPr lang="en-CA" sz="1100" b="1">
              <a:solidFill>
                <a:srgbClr val="0070C0"/>
              </a:solidFill>
              <a:effectLst/>
              <a:latin typeface="+mj-lt"/>
              <a:ea typeface="Calibri" panose="020F0502020204030204" pitchFamily="34" charset="0"/>
              <a:cs typeface="Times New Roman" panose="02020603050405020304" pitchFamily="18" charset="0"/>
            </a:rPr>
            <a:t> strategies:</a:t>
          </a:r>
        </a:p>
        <a:p>
          <a:r>
            <a:rPr lang="en-CA" sz="1100">
              <a:effectLst/>
              <a:latin typeface="+mj-lt"/>
              <a:ea typeface="Calibri" panose="020F0502020204030204" pitchFamily="34" charset="0"/>
              <a:cs typeface="Times New Roman" panose="02020603050405020304" pitchFamily="18" charset="0"/>
            </a:rPr>
            <a:t>These indicators should be assessed for each of the following surveillance strategies if they are implemented in the country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Intervention implementation surveillance (chemoprevention: intermittent preventative treatment of malaria in pregnant women (IPTp), intermittent preventative treatment of malaria in infancy (IPTi),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Seasonal malaria chemoprophylaxis (SMC),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Mass drug administration (MDA);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Vector control: insecticide treated nets (ITNs) distributed through routine channels and/or mass campaigns, indoor residual spraying (IRS) and larval source</a:t>
          </a:r>
          <a:r>
            <a:rPr lang="en-CA" sz="1100" baseline="0">
              <a:effectLst/>
              <a:latin typeface="+mj-lt"/>
              <a:ea typeface="Calibri" panose="020F0502020204030204" pitchFamily="34" charset="0"/>
              <a:cs typeface="Times New Roman" panose="02020603050405020304" pitchFamily="18" charset="0"/>
            </a:rPr>
            <a:t> managment</a:t>
          </a:r>
          <a:r>
            <a:rPr lang="en-CA" sz="1100">
              <a:effectLst/>
              <a:latin typeface="+mj-lt"/>
              <a:ea typeface="Calibri" panose="020F0502020204030204" pitchFamily="34" charset="0"/>
              <a:cs typeface="Times New Roman" panose="02020603050405020304" pitchFamily="18" charset="0"/>
            </a:rPr>
            <a:t>),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Commodity tracking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Entomological surveillance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Drug efficacy</a:t>
          </a:r>
          <a:r>
            <a:rPr lang="en-CA" sz="1100" baseline="0">
              <a:effectLst/>
              <a:latin typeface="+mj-lt"/>
              <a:ea typeface="Calibri" panose="020F0502020204030204" pitchFamily="34" charset="0"/>
              <a:cs typeface="Times New Roman" panose="02020603050405020304" pitchFamily="18" charset="0"/>
            </a:rPr>
            <a:t> </a:t>
          </a:r>
          <a:r>
            <a:rPr lang="en-CA" sz="1100">
              <a:effectLst/>
              <a:latin typeface="+mj-lt"/>
              <a:ea typeface="Calibri" panose="020F0502020204030204" pitchFamily="34" charset="0"/>
              <a:cs typeface="Times New Roman" panose="02020603050405020304" pitchFamily="18" charset="0"/>
            </a:rPr>
            <a:t>surveillance </a:t>
          </a:r>
        </a:p>
        <a:p>
          <a:pPr marL="342900" lvl="0" indent="-342900">
            <a:buFont typeface="Calibri Light" panose="020F0302020204030204" pitchFamily="34" charset="0"/>
            <a:buChar char="-"/>
          </a:pPr>
          <a:r>
            <a:rPr lang="en-CA" sz="1100">
              <a:effectLst/>
              <a:latin typeface="+mj-lt"/>
              <a:ea typeface="Calibri" panose="020F0502020204030204" pitchFamily="34" charset="0"/>
              <a:cs typeface="Times New Roman" panose="02020603050405020304" pitchFamily="18" charset="0"/>
            </a:rPr>
            <a:t>Genomic surveillance (drug resistance</a:t>
          </a:r>
          <a:r>
            <a:rPr lang="en-CA" sz="1100" baseline="0">
              <a:effectLst/>
              <a:latin typeface="+mj-lt"/>
              <a:ea typeface="Calibri" panose="020F0502020204030204" pitchFamily="34" charset="0"/>
              <a:cs typeface="Times New Roman" panose="02020603050405020304" pitchFamily="18" charset="0"/>
            </a:rPr>
            <a:t> and </a:t>
          </a:r>
          <a:r>
            <a:rPr lang="en-CA" sz="1100">
              <a:effectLst/>
              <a:latin typeface="+mj-lt"/>
              <a:ea typeface="Calibri" panose="020F0502020204030204" pitchFamily="34" charset="0"/>
              <a:cs typeface="Times New Roman" panose="02020603050405020304" pitchFamily="18" charset="0"/>
            </a:rPr>
            <a:t>pfhrp 2/3 gene deletions)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entor%20Initiative\Desktop\MC%20DQA%20docs\8.%20Questionnaries%20and%20data%20analysis\2.%20Bases%20de%20Dados\1.%20Database%20CHW_P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decola\Dropbox\Avaliacao%20vigilancia%20Supervisores%20centrais\3.%20Nampula\1.%20Database%20HF_PT%20Final%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W data Entry"/>
      <sheetName val="Report"/>
      <sheetName val="Database"/>
      <sheetName val="ProDisUS"/>
    </sheetNames>
    <sheetDataSet>
      <sheetData sheetId="0">
        <row r="2">
          <cell r="AD2" t="str">
            <v>1. Dados nao recolhidos</v>
          </cell>
          <cell r="AE2" t="str">
            <v>1. Masculino</v>
          </cell>
          <cell r="AF2" t="str">
            <v>1. Ileterado</v>
          </cell>
          <cell r="AG2" t="str">
            <v>1. Discordo totalmente</v>
          </cell>
        </row>
        <row r="3">
          <cell r="AD3" t="str">
            <v>2. Rotura de stock de relatorios</v>
          </cell>
          <cell r="AE3" t="str">
            <v>2. Feminino</v>
          </cell>
          <cell r="AF3" t="str">
            <v>2. 1 ano de educação</v>
          </cell>
          <cell r="AG3" t="str">
            <v>2. Discordo</v>
          </cell>
        </row>
        <row r="4">
          <cell r="AD4" t="str">
            <v>3. Impossivel viajar para a US</v>
          </cell>
          <cell r="AF4" t="str">
            <v>3. 18 meses de escolaridade</v>
          </cell>
          <cell r="AG4" t="str">
            <v>3. Discordo parcialmente Somewhat disagree</v>
          </cell>
        </row>
        <row r="5">
          <cell r="AD5" t="str">
            <v>4. Problemas de transport</v>
          </cell>
          <cell r="AF5" t="str">
            <v>4. 2 ou 3 anos de escolaridade</v>
          </cell>
          <cell r="AG5" t="str">
            <v>4. Não discordo nem concordo</v>
          </cell>
        </row>
        <row r="6">
          <cell r="AD6" t="str">
            <v>5. Sem casos a reportar</v>
          </cell>
          <cell r="AF6" t="str">
            <v>5. 5 anos de escolaridade</v>
          </cell>
          <cell r="AG6" t="str">
            <v>5. Concordo em parte</v>
          </cell>
        </row>
        <row r="7">
          <cell r="AD7" t="str">
            <v>6. Submetido electronicamente</v>
          </cell>
          <cell r="AF7" t="str">
            <v>6. 7 a 12 anos de escolaridade</v>
          </cell>
          <cell r="AG7" t="str">
            <v>6. Concordo</v>
          </cell>
        </row>
        <row r="8">
          <cell r="AD8" t="str">
            <v>7. Outros (especificar</v>
          </cell>
          <cell r="AG8" t="str">
            <v>7. Concordo plenamente</v>
          </cell>
        </row>
      </sheetData>
      <sheetData sheetId="1" refreshError="1"/>
      <sheetData sheetId="2" refreshError="1"/>
      <sheetData sheetId="3">
        <row r="2">
          <cell r="L2" t="str">
            <v>Cabo_Delgado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lth Facility"/>
      <sheetName val="Report"/>
      <sheetName val="Database"/>
      <sheetName val="ProDisUS"/>
    </sheetNames>
    <sheetDataSet>
      <sheetData sheetId="0">
        <row r="2">
          <cell r="BG2" t="str">
            <v>Centro de Saúde Rural I</v>
          </cell>
        </row>
        <row r="3">
          <cell r="BG3" t="str">
            <v>Centro de Saúde Rural II</v>
          </cell>
        </row>
        <row r="4">
          <cell r="BG4" t="str">
            <v>Centro de Saúde Urbano B</v>
          </cell>
        </row>
        <row r="5">
          <cell r="BG5" t="str">
            <v>Centro de Saúde Urbano C</v>
          </cell>
        </row>
        <row r="6">
          <cell r="BG6" t="str">
            <v>Dentro de Saude Mental</v>
          </cell>
        </row>
        <row r="7">
          <cell r="BG7" t="str">
            <v>Centro de Saúde Urbano A</v>
          </cell>
        </row>
        <row r="8">
          <cell r="BG8" t="str">
            <v>Hospital Central</v>
          </cell>
        </row>
        <row r="9">
          <cell r="BG9" t="str">
            <v>Hospital Distrital</v>
          </cell>
        </row>
        <row r="10">
          <cell r="BG10" t="str">
            <v>Hospital Geral</v>
          </cell>
        </row>
        <row r="11">
          <cell r="BG11" t="str">
            <v>Hospital Militar</v>
          </cell>
        </row>
        <row r="12">
          <cell r="BG12" t="str">
            <v>Hospital Provincial</v>
          </cell>
        </row>
        <row r="13">
          <cell r="BG13" t="str">
            <v>Hospital Psiquiatrico</v>
          </cell>
        </row>
        <row r="14">
          <cell r="BG14" t="str">
            <v>Hospital Rural</v>
          </cell>
        </row>
        <row r="15">
          <cell r="BG15" t="str">
            <v>Não classificado</v>
          </cell>
        </row>
        <row r="16">
          <cell r="BG16" t="str">
            <v>Posto de Saúde</v>
          </cell>
        </row>
      </sheetData>
      <sheetData sheetId="1" refreshError="1"/>
      <sheetData sheetId="2" refreshError="1"/>
      <sheetData sheetId="3">
        <row r="2">
          <cell r="L2" t="str">
            <v>Cabo_Delgado</v>
          </cell>
          <cell r="Y2" t="str">
            <v>Yes</v>
          </cell>
        </row>
        <row r="3">
          <cell r="L3" t="str">
            <v>Gaza</v>
          </cell>
          <cell r="Y3" t="str">
            <v>No</v>
          </cell>
        </row>
        <row r="4">
          <cell r="L4" t="str">
            <v>Inhambane</v>
          </cell>
        </row>
        <row r="5">
          <cell r="L5" t="str">
            <v>Manica</v>
          </cell>
        </row>
        <row r="6">
          <cell r="L6" t="str">
            <v>Maputo_Cidade</v>
          </cell>
        </row>
        <row r="7">
          <cell r="L7" t="str">
            <v>Maputo_Provincia</v>
          </cell>
        </row>
        <row r="8">
          <cell r="L8" t="str">
            <v>Nampula</v>
          </cell>
        </row>
        <row r="9">
          <cell r="L9" t="str">
            <v>Niassa</v>
          </cell>
        </row>
        <row r="10">
          <cell r="L10" t="str">
            <v>Sofala</v>
          </cell>
        </row>
        <row r="11">
          <cell r="L11" t="str">
            <v>Tete</v>
          </cell>
        </row>
        <row r="12">
          <cell r="L12" t="str">
            <v>Zambezia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3"/>
  <sheetViews>
    <sheetView topLeftCell="A28" zoomScale="117" workbookViewId="0">
      <selection activeCell="V10" sqref="V10"/>
    </sheetView>
  </sheetViews>
  <sheetFormatPr defaultColWidth="8.85546875" defaultRowHeight="12.75" x14ac:dyDescent="0.2"/>
  <sheetData>
    <row r="3" spans="2:20" ht="32.1" customHeight="1" x14ac:dyDescent="0.2">
      <c r="B3" s="310" t="s">
        <v>222</v>
      </c>
      <c r="C3" s="311"/>
      <c r="D3" s="311"/>
      <c r="E3" s="311"/>
      <c r="F3" s="311"/>
      <c r="G3" s="311"/>
      <c r="H3" s="311"/>
      <c r="I3" s="311"/>
      <c r="J3" s="311"/>
      <c r="K3" s="311"/>
      <c r="L3" s="311"/>
      <c r="M3" s="311"/>
      <c r="N3" s="311"/>
      <c r="O3" s="311"/>
      <c r="P3" s="311"/>
      <c r="Q3" s="311"/>
      <c r="R3" s="311"/>
      <c r="S3" s="311"/>
      <c r="T3" s="312"/>
    </row>
    <row r="4" spans="2:20" x14ac:dyDescent="0.2">
      <c r="B4" s="135"/>
      <c r="C4" s="135"/>
      <c r="D4" s="135"/>
      <c r="E4" s="135"/>
      <c r="F4" s="135"/>
      <c r="G4" s="135"/>
      <c r="H4" s="135"/>
      <c r="I4" s="135"/>
      <c r="J4" s="135"/>
      <c r="K4" s="135"/>
      <c r="L4" s="135"/>
    </row>
    <row r="5" spans="2:20" x14ac:dyDescent="0.2">
      <c r="B5" s="135"/>
      <c r="C5" s="135"/>
      <c r="D5" s="135"/>
      <c r="E5" s="135"/>
      <c r="F5" s="135"/>
      <c r="G5" s="135"/>
      <c r="H5" s="135"/>
      <c r="I5" s="135"/>
      <c r="J5" s="135"/>
      <c r="K5" s="135"/>
      <c r="L5" s="135"/>
    </row>
    <row r="6" spans="2:20" x14ac:dyDescent="0.2">
      <c r="B6" s="135"/>
      <c r="C6" s="135"/>
      <c r="D6" s="135"/>
      <c r="E6" s="135"/>
      <c r="F6" s="135"/>
      <c r="G6" s="135"/>
      <c r="H6" s="135"/>
      <c r="I6" s="135"/>
      <c r="J6" s="135"/>
      <c r="K6" s="135"/>
      <c r="L6" s="135"/>
    </row>
    <row r="7" spans="2:20" x14ac:dyDescent="0.2">
      <c r="B7" s="135"/>
      <c r="C7" s="135"/>
      <c r="D7" s="135"/>
      <c r="E7" s="135"/>
      <c r="F7" s="135"/>
      <c r="G7" s="135"/>
      <c r="H7" s="135"/>
      <c r="I7" s="135"/>
      <c r="J7" s="135"/>
      <c r="K7" s="135"/>
      <c r="L7" s="135"/>
    </row>
    <row r="8" spans="2:20" x14ac:dyDescent="0.2">
      <c r="B8" s="135"/>
      <c r="C8" s="135"/>
      <c r="D8" s="135"/>
      <c r="E8" s="135"/>
      <c r="F8" s="135"/>
      <c r="G8" s="135"/>
      <c r="H8" s="135"/>
      <c r="I8" s="135"/>
      <c r="J8" s="135"/>
      <c r="K8" s="135"/>
      <c r="L8" s="135"/>
    </row>
    <row r="9" spans="2:20" x14ac:dyDescent="0.2">
      <c r="B9" s="135"/>
      <c r="C9" s="135"/>
      <c r="D9" s="135"/>
      <c r="E9" s="135"/>
      <c r="F9" s="135"/>
      <c r="G9" s="135"/>
      <c r="H9" s="135"/>
      <c r="I9" s="135"/>
      <c r="J9" s="135"/>
      <c r="K9" s="135"/>
      <c r="L9" s="135"/>
    </row>
    <row r="10" spans="2:20" x14ac:dyDescent="0.2">
      <c r="B10" s="135"/>
      <c r="C10" s="135"/>
      <c r="D10" s="135"/>
      <c r="E10" s="135"/>
      <c r="F10" s="135"/>
      <c r="G10" s="135"/>
      <c r="H10" s="135"/>
      <c r="I10" s="135"/>
      <c r="J10" s="135"/>
      <c r="K10" s="135"/>
      <c r="L10" s="135"/>
    </row>
    <row r="11" spans="2:20" x14ac:dyDescent="0.2">
      <c r="B11" s="135"/>
      <c r="C11" s="135"/>
      <c r="D11" s="135"/>
      <c r="E11" s="135"/>
      <c r="F11" s="135"/>
      <c r="G11" s="135"/>
      <c r="H11" s="135"/>
      <c r="I11" s="135"/>
      <c r="J11" s="135"/>
      <c r="K11" s="135"/>
      <c r="L11" s="135"/>
    </row>
    <row r="12" spans="2:20" x14ac:dyDescent="0.2">
      <c r="B12" s="135"/>
      <c r="C12" s="135"/>
      <c r="D12" s="135"/>
      <c r="E12" s="135"/>
      <c r="F12" s="135"/>
      <c r="G12" s="135"/>
      <c r="H12" s="135"/>
      <c r="I12" s="135"/>
      <c r="J12" s="135"/>
      <c r="K12" s="135"/>
      <c r="L12" s="135"/>
    </row>
    <row r="13" spans="2:20" x14ac:dyDescent="0.2">
      <c r="B13" s="135"/>
      <c r="C13" s="135"/>
      <c r="D13" s="135"/>
      <c r="E13" s="135"/>
      <c r="F13" s="135"/>
      <c r="G13" s="135"/>
      <c r="H13" s="135"/>
      <c r="I13" s="135"/>
      <c r="J13" s="135"/>
      <c r="K13" s="135"/>
      <c r="L13" s="135"/>
    </row>
    <row r="14" spans="2:20" x14ac:dyDescent="0.2">
      <c r="B14" s="135"/>
      <c r="C14" s="135"/>
      <c r="D14" s="135"/>
      <c r="E14" s="135"/>
      <c r="F14" s="135"/>
      <c r="G14" s="135"/>
      <c r="H14" s="135"/>
      <c r="I14" s="135"/>
      <c r="J14" s="135"/>
      <c r="K14" s="135"/>
      <c r="L14" s="135"/>
    </row>
    <row r="15" spans="2:20" x14ac:dyDescent="0.2">
      <c r="B15" s="135"/>
      <c r="C15" s="135"/>
      <c r="D15" s="135"/>
      <c r="E15" s="135"/>
      <c r="F15" s="135"/>
      <c r="G15" s="135"/>
      <c r="H15" s="135"/>
      <c r="I15" s="135"/>
      <c r="J15" s="135"/>
      <c r="K15" s="135"/>
      <c r="L15" s="135"/>
    </row>
    <row r="16" spans="2:20" x14ac:dyDescent="0.2">
      <c r="B16" s="135"/>
      <c r="C16" s="135"/>
      <c r="D16" s="135"/>
      <c r="E16" s="135"/>
      <c r="F16" s="135"/>
      <c r="G16" s="135"/>
      <c r="H16" s="135"/>
      <c r="I16" s="135"/>
      <c r="J16" s="135"/>
      <c r="K16" s="135"/>
      <c r="L16" s="135"/>
    </row>
    <row r="17" spans="2:12" x14ac:dyDescent="0.2">
      <c r="B17" s="135"/>
      <c r="C17" s="135"/>
      <c r="D17" s="135"/>
      <c r="E17" s="135"/>
      <c r="F17" s="135"/>
      <c r="G17" s="135"/>
      <c r="H17" s="135"/>
      <c r="I17" s="135"/>
      <c r="J17" s="135"/>
      <c r="K17" s="135"/>
      <c r="L17" s="135"/>
    </row>
    <row r="18" spans="2:12" x14ac:dyDescent="0.2">
      <c r="B18" s="135"/>
      <c r="C18" s="135"/>
      <c r="D18" s="135"/>
      <c r="E18" s="135"/>
      <c r="F18" s="135"/>
      <c r="G18" s="135"/>
      <c r="H18" s="135"/>
      <c r="I18" s="135"/>
      <c r="J18" s="135"/>
      <c r="K18" s="135"/>
      <c r="L18" s="135"/>
    </row>
    <row r="19" spans="2:12" x14ac:dyDescent="0.2">
      <c r="B19" s="135"/>
      <c r="C19" s="135"/>
      <c r="D19" s="135"/>
      <c r="E19" s="135"/>
      <c r="F19" s="135"/>
      <c r="G19" s="135"/>
      <c r="H19" s="135"/>
      <c r="I19" s="135"/>
      <c r="J19" s="135"/>
      <c r="K19" s="135"/>
      <c r="L19" s="135"/>
    </row>
    <row r="20" spans="2:12" x14ac:dyDescent="0.2">
      <c r="B20" s="135"/>
      <c r="C20" s="135"/>
      <c r="D20" s="135"/>
      <c r="E20" s="135"/>
      <c r="F20" s="135"/>
      <c r="G20" s="135"/>
      <c r="H20" s="135"/>
      <c r="I20" s="135"/>
      <c r="J20" s="135"/>
      <c r="K20" s="135"/>
      <c r="L20" s="135"/>
    </row>
    <row r="21" spans="2:12" x14ac:dyDescent="0.2">
      <c r="B21" s="135"/>
      <c r="C21" s="135"/>
      <c r="D21" s="135"/>
      <c r="E21" s="135"/>
      <c r="F21" s="135"/>
      <c r="G21" s="135"/>
      <c r="H21" s="135"/>
      <c r="I21" s="135"/>
      <c r="J21" s="135"/>
      <c r="K21" s="135"/>
      <c r="L21" s="135"/>
    </row>
    <row r="22" spans="2:12" x14ac:dyDescent="0.2">
      <c r="B22" s="135"/>
      <c r="C22" s="135"/>
      <c r="D22" s="135"/>
      <c r="E22" s="135"/>
      <c r="F22" s="135"/>
      <c r="G22" s="135"/>
      <c r="H22" s="135"/>
      <c r="I22" s="135"/>
      <c r="J22" s="135"/>
      <c r="K22" s="135"/>
      <c r="L22" s="135"/>
    </row>
    <row r="23" spans="2:12" x14ac:dyDescent="0.2">
      <c r="B23" s="135"/>
      <c r="C23" s="135"/>
      <c r="D23" s="135"/>
      <c r="E23" s="135"/>
      <c r="F23" s="135"/>
      <c r="G23" s="135"/>
      <c r="H23" s="135"/>
      <c r="I23" s="135"/>
      <c r="J23" s="135"/>
      <c r="K23" s="135"/>
      <c r="L23" s="135"/>
    </row>
  </sheetData>
  <mergeCells count="1">
    <mergeCell ref="B3:T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8"/>
  <sheetViews>
    <sheetView showGridLines="0" tabSelected="1" topLeftCell="E1" zoomScale="80" zoomScaleNormal="80" workbookViewId="0">
      <pane ySplit="5" topLeftCell="A6" activePane="bottomLeft" state="frozen"/>
      <selection pane="bottomLeft" activeCell="G7" sqref="G7"/>
    </sheetView>
  </sheetViews>
  <sheetFormatPr defaultColWidth="0" defaultRowHeight="0" customHeight="1" zeroHeight="1" outlineLevelRow="3" x14ac:dyDescent="0.2"/>
  <cols>
    <col min="1" max="1" width="2.5703125" style="223" hidden="1" customWidth="1"/>
    <col min="2" max="2" width="9" style="2" customWidth="1"/>
    <col min="3" max="4" width="12.42578125" style="100" customWidth="1"/>
    <col min="5" max="6" width="12.42578125" style="92" customWidth="1"/>
    <col min="7" max="7" width="52.85546875" style="88" customWidth="1"/>
    <col min="8" max="8" width="81.28515625" style="97" customWidth="1"/>
    <col min="9" max="11" width="28" style="94" customWidth="1"/>
    <col min="12" max="12" width="32.85546875" style="95" customWidth="1"/>
    <col min="13" max="13" width="18.42578125" style="96" customWidth="1"/>
    <col min="14" max="14" width="37.28515625" style="96" bestFit="1" customWidth="1"/>
    <col min="15" max="15" width="1.85546875" style="160" customWidth="1"/>
    <col min="16" max="16" width="37.28515625" style="96" customWidth="1"/>
    <col min="17" max="17" width="3.5703125" style="2" customWidth="1"/>
    <col min="18" max="16384" width="9" style="2" hidden="1"/>
  </cols>
  <sheetData>
    <row r="1" spans="1:18" s="33" customFormat="1" ht="18.75" x14ac:dyDescent="0.3">
      <c r="A1" s="222"/>
      <c r="C1" s="84" t="s">
        <v>131</v>
      </c>
      <c r="D1" s="85"/>
      <c r="E1" s="86"/>
      <c r="F1" s="87"/>
      <c r="G1" s="88"/>
      <c r="H1" s="207" t="s">
        <v>322</v>
      </c>
      <c r="I1" s="89"/>
      <c r="J1" s="89"/>
      <c r="K1" s="89"/>
      <c r="L1" s="90"/>
      <c r="M1" s="91"/>
      <c r="N1" s="91"/>
      <c r="O1" s="159"/>
      <c r="P1" s="91"/>
    </row>
    <row r="2" spans="1:18" s="33" customFormat="1" ht="14.85" customHeight="1" x14ac:dyDescent="0.3">
      <c r="A2" s="222"/>
      <c r="C2" s="84"/>
      <c r="D2" s="85"/>
      <c r="E2" s="86"/>
      <c r="F2" s="87"/>
      <c r="G2" s="88"/>
      <c r="I2" s="89"/>
      <c r="J2" s="89"/>
      <c r="K2" s="89"/>
      <c r="L2" s="90"/>
      <c r="M2" s="91"/>
      <c r="N2" s="91"/>
      <c r="O2" s="159"/>
      <c r="P2" s="91"/>
    </row>
    <row r="3" spans="1:18" s="1" customFormat="1" ht="39" customHeight="1" x14ac:dyDescent="0.2">
      <c r="A3" s="222"/>
      <c r="C3" s="316"/>
      <c r="D3" s="316"/>
      <c r="E3" s="316"/>
      <c r="F3" s="92"/>
      <c r="G3" s="88"/>
      <c r="H3" s="93"/>
      <c r="I3" s="94"/>
      <c r="J3" s="94"/>
      <c r="K3" s="94"/>
      <c r="L3" s="95"/>
      <c r="M3" s="96"/>
      <c r="N3" s="96"/>
      <c r="O3" s="160"/>
      <c r="P3" s="96"/>
      <c r="R3" s="157"/>
    </row>
    <row r="4" spans="1:18" ht="14.85" customHeight="1" thickBot="1" x14ac:dyDescent="0.25">
      <c r="C4" s="151"/>
      <c r="D4" s="151"/>
      <c r="E4" s="151"/>
      <c r="F4" s="152"/>
      <c r="R4" s="157" t="s">
        <v>136</v>
      </c>
    </row>
    <row r="5" spans="1:18" s="6" customFormat="1" ht="26.85" customHeight="1" x14ac:dyDescent="0.2">
      <c r="A5" s="224" t="s">
        <v>308</v>
      </c>
      <c r="B5" s="224"/>
      <c r="C5" s="169" t="s">
        <v>13</v>
      </c>
      <c r="D5" s="170" t="s">
        <v>1</v>
      </c>
      <c r="E5" s="171" t="s">
        <v>15</v>
      </c>
      <c r="F5" s="171" t="s">
        <v>14</v>
      </c>
      <c r="G5" s="172" t="s">
        <v>8</v>
      </c>
      <c r="H5" s="172" t="s">
        <v>3</v>
      </c>
      <c r="I5" s="173" t="s">
        <v>135</v>
      </c>
      <c r="J5" s="173" t="s">
        <v>132</v>
      </c>
      <c r="K5" s="171" t="s">
        <v>302</v>
      </c>
      <c r="L5" s="170" t="s">
        <v>223</v>
      </c>
      <c r="M5" s="171" t="s">
        <v>29</v>
      </c>
      <c r="N5" s="174" t="s">
        <v>105</v>
      </c>
      <c r="O5" s="158"/>
      <c r="P5" s="189" t="s">
        <v>309</v>
      </c>
    </row>
    <row r="6" spans="1:18" s="7" customFormat="1" ht="42.6" customHeight="1" x14ac:dyDescent="0.2">
      <c r="A6" s="208">
        <v>0</v>
      </c>
      <c r="B6" s="232"/>
      <c r="C6" s="36">
        <v>1</v>
      </c>
      <c r="D6" s="15"/>
      <c r="E6" s="18"/>
      <c r="F6" s="18"/>
      <c r="G6" s="68" t="s">
        <v>74</v>
      </c>
      <c r="H6" s="8"/>
      <c r="I6" s="147"/>
      <c r="J6" s="57"/>
      <c r="K6" s="57"/>
      <c r="L6" s="49"/>
      <c r="M6" s="57"/>
      <c r="N6" s="175"/>
      <c r="O6" s="161"/>
      <c r="P6" s="190"/>
    </row>
    <row r="7" spans="1:18" s="7" customFormat="1" ht="33" customHeight="1" outlineLevel="1" x14ac:dyDescent="0.2">
      <c r="A7" s="208">
        <v>0</v>
      </c>
      <c r="B7" s="233"/>
      <c r="C7" s="16">
        <v>1</v>
      </c>
      <c r="D7" s="16">
        <v>1.1000000000000001</v>
      </c>
      <c r="E7" s="19"/>
      <c r="F7" s="19"/>
      <c r="G7" s="14" t="s">
        <v>90</v>
      </c>
      <c r="H7" s="106" t="str">
        <f>CONCATENATE("Number of indicators=",COUNTA(H9:H17))</f>
        <v>Number of indicators=9</v>
      </c>
      <c r="I7" s="317" t="s">
        <v>140</v>
      </c>
      <c r="J7" s="317"/>
      <c r="K7" s="106"/>
      <c r="L7" s="50"/>
      <c r="M7" s="58"/>
      <c r="N7" s="176"/>
      <c r="O7" s="162"/>
      <c r="P7" s="191"/>
    </row>
    <row r="8" spans="1:18" s="7" customFormat="1" ht="15.75" outlineLevel="1" x14ac:dyDescent="0.2">
      <c r="A8" s="210">
        <v>0</v>
      </c>
      <c r="B8" s="234"/>
      <c r="C8" s="214">
        <v>1</v>
      </c>
      <c r="D8" s="214">
        <v>1.1000000000000001</v>
      </c>
      <c r="E8" s="215" t="s">
        <v>330</v>
      </c>
      <c r="F8" s="216"/>
      <c r="G8" s="211" t="s">
        <v>230</v>
      </c>
      <c r="H8" s="211"/>
      <c r="I8" s="211"/>
      <c r="J8" s="211"/>
      <c r="K8" s="211"/>
      <c r="L8" s="211"/>
      <c r="M8" s="211"/>
      <c r="N8" s="212"/>
      <c r="O8" s="213"/>
      <c r="P8" s="192"/>
    </row>
    <row r="9" spans="1:18" s="103" customFormat="1" ht="128.25" customHeight="1" outlineLevel="2" x14ac:dyDescent="0.2">
      <c r="A9" s="209">
        <v>1</v>
      </c>
      <c r="B9" s="235"/>
      <c r="C9" s="132">
        <v>1</v>
      </c>
      <c r="D9" s="132">
        <v>1.1000000000000001</v>
      </c>
      <c r="E9" s="278" t="s">
        <v>129</v>
      </c>
      <c r="F9" s="132" t="s">
        <v>141</v>
      </c>
      <c r="G9" s="279" t="s">
        <v>89</v>
      </c>
      <c r="H9" s="273" t="s">
        <v>355</v>
      </c>
      <c r="I9" s="128" t="s">
        <v>133</v>
      </c>
      <c r="J9" s="260" t="s">
        <v>132</v>
      </c>
      <c r="L9" s="154" t="s">
        <v>75</v>
      </c>
      <c r="M9" s="280" t="s">
        <v>7</v>
      </c>
      <c r="N9" s="281" t="s">
        <v>107</v>
      </c>
      <c r="O9" s="252"/>
      <c r="P9" s="193"/>
    </row>
    <row r="10" spans="1:18" s="103" customFormat="1" ht="119.25" customHeight="1" outlineLevel="2" x14ac:dyDescent="0.2">
      <c r="A10" s="209">
        <v>2</v>
      </c>
      <c r="B10" s="236"/>
      <c r="C10" s="74">
        <v>1</v>
      </c>
      <c r="D10" s="74">
        <v>1.1000000000000001</v>
      </c>
      <c r="E10" s="129" t="s">
        <v>330</v>
      </c>
      <c r="F10" s="74" t="s">
        <v>142</v>
      </c>
      <c r="G10" s="101" t="s">
        <v>80</v>
      </c>
      <c r="H10" s="259" t="s">
        <v>311</v>
      </c>
      <c r="I10" s="56" t="s">
        <v>133</v>
      </c>
      <c r="J10" s="56" t="s">
        <v>132</v>
      </c>
      <c r="K10" s="56"/>
      <c r="L10" s="154" t="s">
        <v>75</v>
      </c>
      <c r="M10" s="83" t="s">
        <v>7</v>
      </c>
      <c r="N10" s="177" t="s">
        <v>106</v>
      </c>
      <c r="O10" s="252"/>
      <c r="P10" s="193"/>
    </row>
    <row r="11" spans="1:18" s="103" customFormat="1" ht="84" customHeight="1" outlineLevel="2" x14ac:dyDescent="0.2">
      <c r="A11" s="209">
        <v>3</v>
      </c>
      <c r="B11" s="236"/>
      <c r="C11" s="74">
        <v>1</v>
      </c>
      <c r="D11" s="74">
        <v>1.1000000000000001</v>
      </c>
      <c r="E11" s="129" t="s">
        <v>330</v>
      </c>
      <c r="F11" s="74" t="s">
        <v>143</v>
      </c>
      <c r="G11" s="101" t="s">
        <v>79</v>
      </c>
      <c r="H11" s="81" t="s">
        <v>248</v>
      </c>
      <c r="I11" s="56" t="s">
        <v>133</v>
      </c>
      <c r="J11" s="56" t="s">
        <v>132</v>
      </c>
      <c r="K11" s="56"/>
      <c r="L11" s="154" t="s">
        <v>75</v>
      </c>
      <c r="M11" s="83" t="s">
        <v>7</v>
      </c>
      <c r="N11" s="177" t="s">
        <v>327</v>
      </c>
      <c r="O11" s="163"/>
      <c r="P11" s="193"/>
    </row>
    <row r="12" spans="1:18" s="103" customFormat="1" ht="108.75" customHeight="1" outlineLevel="2" x14ac:dyDescent="0.2">
      <c r="A12" s="209">
        <v>4</v>
      </c>
      <c r="B12" s="236"/>
      <c r="C12" s="74">
        <v>1</v>
      </c>
      <c r="D12" s="74">
        <v>1.1000000000000001</v>
      </c>
      <c r="E12" s="129" t="s">
        <v>330</v>
      </c>
      <c r="F12" s="74" t="s">
        <v>144</v>
      </c>
      <c r="G12" s="75" t="s">
        <v>69</v>
      </c>
      <c r="H12" s="259" t="s">
        <v>356</v>
      </c>
      <c r="I12" s="56" t="s">
        <v>133</v>
      </c>
      <c r="J12" s="56" t="s">
        <v>132</v>
      </c>
      <c r="K12" s="56"/>
      <c r="L12" s="154" t="s">
        <v>75</v>
      </c>
      <c r="M12" s="83" t="s">
        <v>7</v>
      </c>
      <c r="N12" s="177" t="s">
        <v>327</v>
      </c>
      <c r="O12" s="252"/>
      <c r="P12" s="193"/>
    </row>
    <row r="13" spans="1:18" s="103" customFormat="1" ht="57" customHeight="1" outlineLevel="2" x14ac:dyDescent="0.2">
      <c r="A13" s="209">
        <v>5</v>
      </c>
      <c r="B13" s="236"/>
      <c r="C13" s="74">
        <v>1</v>
      </c>
      <c r="D13" s="74">
        <v>1.1000000000000001</v>
      </c>
      <c r="E13" s="129" t="s">
        <v>330</v>
      </c>
      <c r="F13" s="74" t="s">
        <v>145</v>
      </c>
      <c r="G13" s="75" t="s">
        <v>101</v>
      </c>
      <c r="H13" s="81" t="s">
        <v>249</v>
      </c>
      <c r="I13" s="56"/>
      <c r="J13" s="56" t="s">
        <v>132</v>
      </c>
      <c r="K13" s="56"/>
      <c r="L13" s="154" t="s">
        <v>75</v>
      </c>
      <c r="M13" s="83" t="s">
        <v>7</v>
      </c>
      <c r="N13" s="177" t="s">
        <v>107</v>
      </c>
      <c r="O13" s="163"/>
      <c r="P13" s="193"/>
    </row>
    <row r="14" spans="1:18" s="103" customFormat="1" ht="77.25" customHeight="1" outlineLevel="2" x14ac:dyDescent="0.2">
      <c r="A14" s="209">
        <v>6</v>
      </c>
      <c r="B14" s="236"/>
      <c r="C14" s="74">
        <v>1</v>
      </c>
      <c r="D14" s="74">
        <v>1.1000000000000001</v>
      </c>
      <c r="E14" s="129" t="s">
        <v>330</v>
      </c>
      <c r="F14" s="74" t="s">
        <v>146</v>
      </c>
      <c r="G14" s="75" t="s">
        <v>91</v>
      </c>
      <c r="H14" s="267" t="s">
        <v>312</v>
      </c>
      <c r="I14" s="56"/>
      <c r="J14" s="56" t="s">
        <v>132</v>
      </c>
      <c r="K14" s="56"/>
      <c r="L14" s="154" t="s">
        <v>75</v>
      </c>
      <c r="M14" s="83" t="s">
        <v>7</v>
      </c>
      <c r="N14" s="177" t="s">
        <v>107</v>
      </c>
      <c r="O14" s="252"/>
      <c r="P14" s="193"/>
    </row>
    <row r="15" spans="1:18" s="103" customFormat="1" ht="96" customHeight="1" outlineLevel="2" x14ac:dyDescent="0.2">
      <c r="A15" s="209">
        <v>7</v>
      </c>
      <c r="B15" s="236"/>
      <c r="C15" s="74">
        <v>1</v>
      </c>
      <c r="D15" s="74">
        <v>1.1000000000000001</v>
      </c>
      <c r="E15" s="129" t="s">
        <v>330</v>
      </c>
      <c r="F15" s="74" t="s">
        <v>147</v>
      </c>
      <c r="G15" s="75" t="s">
        <v>86</v>
      </c>
      <c r="H15" s="101" t="s">
        <v>236</v>
      </c>
      <c r="I15" s="56" t="s">
        <v>133</v>
      </c>
      <c r="J15" s="260"/>
      <c r="K15" s="56"/>
      <c r="L15" s="154" t="s">
        <v>75</v>
      </c>
      <c r="M15" s="83" t="s">
        <v>7</v>
      </c>
      <c r="N15" s="177" t="s">
        <v>134</v>
      </c>
      <c r="O15" s="163"/>
      <c r="P15" s="193"/>
    </row>
    <row r="16" spans="1:18" s="103" customFormat="1" ht="145.5" customHeight="1" x14ac:dyDescent="0.2">
      <c r="A16" s="209">
        <v>8</v>
      </c>
      <c r="B16" s="236"/>
      <c r="C16" s="74">
        <v>1</v>
      </c>
      <c r="D16" s="74">
        <v>1.1000000000000001</v>
      </c>
      <c r="E16" s="129" t="s">
        <v>330</v>
      </c>
      <c r="F16" s="74" t="s">
        <v>148</v>
      </c>
      <c r="G16" s="270" t="s">
        <v>353</v>
      </c>
      <c r="H16" s="274" t="s">
        <v>313</v>
      </c>
      <c r="I16" s="260" t="s">
        <v>303</v>
      </c>
      <c r="J16" s="56" t="s">
        <v>132</v>
      </c>
      <c r="K16" s="56"/>
      <c r="L16" s="154" t="s">
        <v>75</v>
      </c>
      <c r="M16" s="118" t="s">
        <v>245</v>
      </c>
      <c r="N16" s="282" t="s">
        <v>134</v>
      </c>
      <c r="O16" s="283"/>
      <c r="P16" s="193"/>
    </row>
    <row r="17" spans="1:16" s="103" customFormat="1" ht="93.75" customHeight="1" x14ac:dyDescent="0.2">
      <c r="A17" s="209">
        <v>9</v>
      </c>
      <c r="B17" s="284"/>
      <c r="C17" s="131">
        <v>1</v>
      </c>
      <c r="D17" s="131">
        <v>1.1000000000000001</v>
      </c>
      <c r="E17" s="129" t="s">
        <v>330</v>
      </c>
      <c r="F17" s="131" t="s">
        <v>121</v>
      </c>
      <c r="G17" s="269" t="s">
        <v>122</v>
      </c>
      <c r="H17" s="275" t="s">
        <v>314</v>
      </c>
      <c r="I17" s="260" t="s">
        <v>315</v>
      </c>
      <c r="J17" s="260" t="s">
        <v>132</v>
      </c>
      <c r="K17" s="276" t="s">
        <v>316</v>
      </c>
      <c r="L17" s="154" t="s">
        <v>75</v>
      </c>
      <c r="M17" s="283" t="s">
        <v>244</v>
      </c>
      <c r="N17" s="282" t="s">
        <v>134</v>
      </c>
      <c r="O17" s="283"/>
      <c r="P17" s="193"/>
    </row>
    <row r="18" spans="1:16" s="3" customFormat="1" ht="42.6" customHeight="1" outlineLevel="1" x14ac:dyDescent="0.2">
      <c r="A18" s="208">
        <v>0</v>
      </c>
      <c r="B18" s="233"/>
      <c r="C18" s="16">
        <v>1</v>
      </c>
      <c r="D18" s="16">
        <v>1.2</v>
      </c>
      <c r="E18" s="19"/>
      <c r="F18" s="16"/>
      <c r="G18" s="11" t="s">
        <v>20</v>
      </c>
      <c r="H18" s="47" t="str">
        <f>CONCATENATE("Number of indicators=",COUNTA(H19:H32))</f>
        <v>Number of indicators=14</v>
      </c>
      <c r="I18" s="317" t="s">
        <v>140</v>
      </c>
      <c r="J18" s="317"/>
      <c r="K18" s="106"/>
      <c r="L18" s="107"/>
      <c r="M18" s="58"/>
      <c r="N18" s="176"/>
      <c r="O18" s="162"/>
      <c r="P18" s="191"/>
    </row>
    <row r="19" spans="1:16" s="103" customFormat="1" ht="107.25" customHeight="1" outlineLevel="2" x14ac:dyDescent="0.2">
      <c r="A19" s="208">
        <v>1</v>
      </c>
      <c r="B19" s="236"/>
      <c r="C19" s="74">
        <v>1</v>
      </c>
      <c r="D19" s="74">
        <v>1.2</v>
      </c>
      <c r="E19" s="129" t="s">
        <v>330</v>
      </c>
      <c r="F19" s="74" t="s">
        <v>149</v>
      </c>
      <c r="G19" s="101" t="s">
        <v>76</v>
      </c>
      <c r="H19" s="81" t="s">
        <v>285</v>
      </c>
      <c r="I19" s="56" t="s">
        <v>133</v>
      </c>
      <c r="J19" s="56" t="s">
        <v>132</v>
      </c>
      <c r="K19" s="56"/>
      <c r="L19" s="82" t="s">
        <v>77</v>
      </c>
      <c r="M19" s="83" t="s">
        <v>7</v>
      </c>
      <c r="N19" s="177" t="s">
        <v>329</v>
      </c>
      <c r="O19" s="163"/>
      <c r="P19" s="194"/>
    </row>
    <row r="20" spans="1:16" s="103" customFormat="1" ht="71.25" customHeight="1" outlineLevel="2" x14ac:dyDescent="0.2">
      <c r="A20" s="208">
        <v>2</v>
      </c>
      <c r="B20" s="236"/>
      <c r="C20" s="74">
        <v>1</v>
      </c>
      <c r="D20" s="74">
        <v>1.2</v>
      </c>
      <c r="E20" s="129" t="s">
        <v>330</v>
      </c>
      <c r="F20" s="74" t="s">
        <v>150</v>
      </c>
      <c r="G20" s="101" t="s">
        <v>97</v>
      </c>
      <c r="H20" s="102" t="s">
        <v>250</v>
      </c>
      <c r="I20" s="56"/>
      <c r="J20" s="56" t="s">
        <v>132</v>
      </c>
      <c r="K20" s="56"/>
      <c r="L20" s="82" t="s">
        <v>77</v>
      </c>
      <c r="M20" s="83" t="s">
        <v>7</v>
      </c>
      <c r="N20" s="177" t="s">
        <v>107</v>
      </c>
      <c r="O20" s="163"/>
      <c r="P20" s="194"/>
    </row>
    <row r="21" spans="1:16" s="103" customFormat="1" ht="71.25" customHeight="1" outlineLevel="2" x14ac:dyDescent="0.2">
      <c r="A21" s="208">
        <v>3</v>
      </c>
      <c r="B21" s="236"/>
      <c r="C21" s="74">
        <v>1</v>
      </c>
      <c r="D21" s="74">
        <v>1.2</v>
      </c>
      <c r="E21" s="129" t="s">
        <v>330</v>
      </c>
      <c r="F21" s="74" t="s">
        <v>151</v>
      </c>
      <c r="G21" s="101" t="s">
        <v>2</v>
      </c>
      <c r="H21" s="81" t="s">
        <v>286</v>
      </c>
      <c r="I21" s="56" t="s">
        <v>133</v>
      </c>
      <c r="J21" s="56" t="s">
        <v>132</v>
      </c>
      <c r="K21" s="56"/>
      <c r="L21" s="82" t="s">
        <v>77</v>
      </c>
      <c r="M21" s="83" t="s">
        <v>7</v>
      </c>
      <c r="N21" s="177" t="s">
        <v>329</v>
      </c>
      <c r="O21" s="163"/>
      <c r="P21" s="194"/>
    </row>
    <row r="22" spans="1:16" s="103" customFormat="1" ht="48.75" customHeight="1" outlineLevel="2" x14ac:dyDescent="0.2">
      <c r="A22" s="208">
        <v>4</v>
      </c>
      <c r="B22" s="236"/>
      <c r="C22" s="74">
        <v>1</v>
      </c>
      <c r="D22" s="74">
        <v>1.2</v>
      </c>
      <c r="E22" s="129" t="s">
        <v>330</v>
      </c>
      <c r="F22" s="74" t="s">
        <v>152</v>
      </c>
      <c r="G22" s="108" t="s">
        <v>95</v>
      </c>
      <c r="H22" s="146" t="s">
        <v>251</v>
      </c>
      <c r="I22" s="56"/>
      <c r="J22" s="56" t="s">
        <v>132</v>
      </c>
      <c r="K22" s="56"/>
      <c r="L22" s="82" t="s">
        <v>77</v>
      </c>
      <c r="M22" s="83" t="s">
        <v>7</v>
      </c>
      <c r="N22" s="177" t="s">
        <v>107</v>
      </c>
      <c r="O22" s="163"/>
      <c r="P22" s="194"/>
    </row>
    <row r="23" spans="1:16" s="103" customFormat="1" ht="48.75" customHeight="1" outlineLevel="2" x14ac:dyDescent="0.2">
      <c r="A23" s="208">
        <v>5</v>
      </c>
      <c r="B23" s="236"/>
      <c r="C23" s="74">
        <v>1</v>
      </c>
      <c r="D23" s="74">
        <v>1.2</v>
      </c>
      <c r="E23" s="129" t="s">
        <v>330</v>
      </c>
      <c r="F23" s="74" t="s">
        <v>153</v>
      </c>
      <c r="G23" s="108" t="s">
        <v>96</v>
      </c>
      <c r="H23" s="146" t="s">
        <v>252</v>
      </c>
      <c r="I23" s="56"/>
      <c r="J23" s="56" t="s">
        <v>132</v>
      </c>
      <c r="K23" s="56"/>
      <c r="L23" s="82" t="s">
        <v>77</v>
      </c>
      <c r="M23" s="83" t="s">
        <v>7</v>
      </c>
      <c r="N23" s="177" t="s">
        <v>107</v>
      </c>
      <c r="O23" s="163"/>
      <c r="P23" s="194"/>
    </row>
    <row r="24" spans="1:16" s="103" customFormat="1" ht="48.75" customHeight="1" outlineLevel="2" x14ac:dyDescent="0.2">
      <c r="A24" s="208">
        <v>6</v>
      </c>
      <c r="B24" s="236"/>
      <c r="C24" s="74">
        <v>1</v>
      </c>
      <c r="D24" s="74">
        <v>1.2</v>
      </c>
      <c r="E24" s="129" t="s">
        <v>330</v>
      </c>
      <c r="F24" s="74" t="s">
        <v>154</v>
      </c>
      <c r="G24" s="108" t="s">
        <v>98</v>
      </c>
      <c r="H24" s="146" t="s">
        <v>253</v>
      </c>
      <c r="I24" s="56"/>
      <c r="J24" s="56" t="s">
        <v>132</v>
      </c>
      <c r="K24" s="56"/>
      <c r="L24" s="82" t="s">
        <v>77</v>
      </c>
      <c r="M24" s="83" t="s">
        <v>7</v>
      </c>
      <c r="N24" s="177" t="s">
        <v>107</v>
      </c>
      <c r="O24" s="163"/>
      <c r="P24" s="194"/>
    </row>
    <row r="25" spans="1:16" s="103" customFormat="1" ht="99" customHeight="1" outlineLevel="2" x14ac:dyDescent="0.2">
      <c r="A25" s="208">
        <v>7</v>
      </c>
      <c r="B25" s="236"/>
      <c r="C25" s="74">
        <v>1</v>
      </c>
      <c r="D25" s="74">
        <v>1.2</v>
      </c>
      <c r="E25" s="129" t="s">
        <v>330</v>
      </c>
      <c r="F25" s="74" t="s">
        <v>155</v>
      </c>
      <c r="G25" s="101" t="s">
        <v>123</v>
      </c>
      <c r="H25" s="81" t="s">
        <v>287</v>
      </c>
      <c r="I25" s="56" t="s">
        <v>133</v>
      </c>
      <c r="J25" s="56"/>
      <c r="K25" s="56"/>
      <c r="L25" s="82" t="s">
        <v>77</v>
      </c>
      <c r="M25" s="83" t="s">
        <v>7</v>
      </c>
      <c r="N25" s="177" t="s">
        <v>328</v>
      </c>
      <c r="O25" s="163"/>
      <c r="P25" s="194"/>
    </row>
    <row r="26" spans="1:16" s="103" customFormat="1" ht="81" customHeight="1" outlineLevel="2" x14ac:dyDescent="0.2">
      <c r="A26" s="208">
        <v>8</v>
      </c>
      <c r="B26" s="236"/>
      <c r="C26" s="74">
        <v>1</v>
      </c>
      <c r="D26" s="74">
        <v>1.2</v>
      </c>
      <c r="E26" s="129" t="s">
        <v>330</v>
      </c>
      <c r="F26" s="74" t="s">
        <v>156</v>
      </c>
      <c r="G26" s="101" t="s">
        <v>124</v>
      </c>
      <c r="H26" s="81" t="s">
        <v>288</v>
      </c>
      <c r="I26" s="56" t="s">
        <v>133</v>
      </c>
      <c r="J26" s="56" t="s">
        <v>132</v>
      </c>
      <c r="K26" s="56"/>
      <c r="L26" s="82" t="s">
        <v>77</v>
      </c>
      <c r="M26" s="83" t="s">
        <v>7</v>
      </c>
      <c r="N26" s="177" t="s">
        <v>328</v>
      </c>
      <c r="O26" s="163"/>
      <c r="P26" s="194"/>
    </row>
    <row r="27" spans="1:16" s="103" customFormat="1" ht="99" customHeight="1" outlineLevel="2" x14ac:dyDescent="0.2">
      <c r="A27" s="208">
        <v>9</v>
      </c>
      <c r="B27" s="236"/>
      <c r="C27" s="74">
        <v>1</v>
      </c>
      <c r="D27" s="74">
        <v>1.2</v>
      </c>
      <c r="E27" s="129" t="s">
        <v>330</v>
      </c>
      <c r="F27" s="74" t="s">
        <v>157</v>
      </c>
      <c r="G27" s="75" t="s">
        <v>125</v>
      </c>
      <c r="H27" s="102" t="s">
        <v>289</v>
      </c>
      <c r="I27" s="56" t="s">
        <v>133</v>
      </c>
      <c r="J27" s="56" t="s">
        <v>132</v>
      </c>
      <c r="K27" s="56"/>
      <c r="L27" s="82" t="s">
        <v>77</v>
      </c>
      <c r="M27" s="83" t="s">
        <v>244</v>
      </c>
      <c r="N27" s="177" t="s">
        <v>328</v>
      </c>
      <c r="O27" s="163"/>
      <c r="P27" s="194"/>
    </row>
    <row r="28" spans="1:16" s="103" customFormat="1" ht="126" customHeight="1" outlineLevel="2" x14ac:dyDescent="0.2">
      <c r="A28" s="208">
        <v>10</v>
      </c>
      <c r="B28" s="236"/>
      <c r="C28" s="74">
        <v>1</v>
      </c>
      <c r="D28" s="74">
        <v>1.2</v>
      </c>
      <c r="E28" s="129" t="s">
        <v>330</v>
      </c>
      <c r="F28" s="74" t="s">
        <v>158</v>
      </c>
      <c r="G28" s="101" t="s">
        <v>126</v>
      </c>
      <c r="H28" s="81" t="s">
        <v>290</v>
      </c>
      <c r="I28" s="56" t="s">
        <v>133</v>
      </c>
      <c r="J28" s="56" t="s">
        <v>132</v>
      </c>
      <c r="K28" s="56"/>
      <c r="L28" s="82" t="s">
        <v>77</v>
      </c>
      <c r="M28" s="83" t="s">
        <v>7</v>
      </c>
      <c r="N28" s="177" t="s">
        <v>107</v>
      </c>
      <c r="O28" s="163"/>
      <c r="P28" s="194"/>
    </row>
    <row r="29" spans="1:16" s="103" customFormat="1" ht="84" customHeight="1" outlineLevel="2" x14ac:dyDescent="0.2">
      <c r="A29" s="208">
        <v>11</v>
      </c>
      <c r="B29" s="236"/>
      <c r="C29" s="74">
        <v>1</v>
      </c>
      <c r="D29" s="74">
        <v>1.2</v>
      </c>
      <c r="E29" s="129" t="s">
        <v>330</v>
      </c>
      <c r="F29" s="74" t="s">
        <v>159</v>
      </c>
      <c r="G29" s="101" t="s">
        <v>127</v>
      </c>
      <c r="H29" s="81" t="s">
        <v>291</v>
      </c>
      <c r="I29" s="56" t="s">
        <v>133</v>
      </c>
      <c r="J29" s="56" t="s">
        <v>132</v>
      </c>
      <c r="K29" s="56"/>
      <c r="L29" s="56" t="s">
        <v>82</v>
      </c>
      <c r="M29" s="83" t="s">
        <v>7</v>
      </c>
      <c r="N29" s="177" t="s">
        <v>328</v>
      </c>
      <c r="O29" s="163"/>
      <c r="P29" s="194"/>
    </row>
    <row r="30" spans="1:16" s="103" customFormat="1" ht="169.5" customHeight="1" outlineLevel="2" x14ac:dyDescent="0.2">
      <c r="A30" s="208">
        <v>12</v>
      </c>
      <c r="B30" s="236"/>
      <c r="C30" s="74">
        <v>1</v>
      </c>
      <c r="D30" s="74">
        <v>1.2</v>
      </c>
      <c r="E30" s="129" t="s">
        <v>330</v>
      </c>
      <c r="F30" s="74" t="s">
        <v>160</v>
      </c>
      <c r="G30" s="101" t="s">
        <v>128</v>
      </c>
      <c r="H30" s="81" t="s">
        <v>292</v>
      </c>
      <c r="I30" s="56" t="s">
        <v>133</v>
      </c>
      <c r="J30" s="56" t="s">
        <v>132</v>
      </c>
      <c r="K30" s="56"/>
      <c r="L30" s="56" t="s">
        <v>30</v>
      </c>
      <c r="M30" s="83" t="s">
        <v>7</v>
      </c>
      <c r="N30" s="177" t="s">
        <v>328</v>
      </c>
      <c r="O30" s="163"/>
      <c r="P30" s="194"/>
    </row>
    <row r="31" spans="1:16" s="103" customFormat="1" ht="80.25" customHeight="1" outlineLevel="2" x14ac:dyDescent="0.2">
      <c r="A31" s="208">
        <v>13</v>
      </c>
      <c r="B31" s="236"/>
      <c r="C31" s="74">
        <v>1</v>
      </c>
      <c r="D31" s="74">
        <v>1.2</v>
      </c>
      <c r="E31" s="129" t="s">
        <v>330</v>
      </c>
      <c r="F31" s="74" t="s">
        <v>161</v>
      </c>
      <c r="G31" s="101" t="s">
        <v>87</v>
      </c>
      <c r="H31" s="81" t="s">
        <v>293</v>
      </c>
      <c r="I31" s="56" t="s">
        <v>133</v>
      </c>
      <c r="J31" s="56"/>
      <c r="K31" s="56"/>
      <c r="L31" s="56" t="s">
        <v>30</v>
      </c>
      <c r="M31" s="83" t="s">
        <v>242</v>
      </c>
      <c r="N31" s="177" t="s">
        <v>328</v>
      </c>
      <c r="O31" s="163"/>
      <c r="P31" s="194"/>
    </row>
    <row r="32" spans="1:16" s="103" customFormat="1" ht="54" customHeight="1" outlineLevel="2" x14ac:dyDescent="0.2">
      <c r="A32" s="208">
        <v>14</v>
      </c>
      <c r="B32" s="236"/>
      <c r="C32" s="74">
        <v>1</v>
      </c>
      <c r="D32" s="74">
        <v>1.2</v>
      </c>
      <c r="E32" s="129" t="s">
        <v>330</v>
      </c>
      <c r="F32" s="74" t="s">
        <v>162</v>
      </c>
      <c r="G32" s="101" t="s">
        <v>241</v>
      </c>
      <c r="H32" s="81" t="s">
        <v>294</v>
      </c>
      <c r="I32" s="56" t="s">
        <v>133</v>
      </c>
      <c r="J32" s="56" t="s">
        <v>132</v>
      </c>
      <c r="K32" s="56"/>
      <c r="L32" s="82" t="s">
        <v>104</v>
      </c>
      <c r="M32" s="83" t="s">
        <v>246</v>
      </c>
      <c r="N32" s="177" t="s">
        <v>328</v>
      </c>
      <c r="O32" s="163"/>
      <c r="P32" s="194"/>
    </row>
    <row r="33" spans="1:16" s="3" customFormat="1" ht="42.6" customHeight="1" outlineLevel="1" x14ac:dyDescent="0.2">
      <c r="A33" s="208">
        <v>0</v>
      </c>
      <c r="B33" s="237"/>
      <c r="C33" s="17">
        <v>1</v>
      </c>
      <c r="D33" s="16">
        <v>1.3</v>
      </c>
      <c r="E33" s="19"/>
      <c r="F33" s="34"/>
      <c r="G33" s="11" t="s">
        <v>21</v>
      </c>
      <c r="H33" s="47" t="str">
        <f>CONCATENATE("Number of indicators=",COUNTA(G34:G40),
"
Data use is defined in the context of this toolkit as: “instances where data are reviewed to inform programmatic action.”" )</f>
        <v>Number of indicators=7
Data use is defined in the context of this toolkit as: “instances where data are reviewed to inform programmatic action.”</v>
      </c>
      <c r="I33" s="317" t="s">
        <v>140</v>
      </c>
      <c r="J33" s="317"/>
      <c r="K33" s="106"/>
      <c r="L33" s="50"/>
      <c r="M33" s="58"/>
      <c r="N33" s="176"/>
      <c r="O33" s="162"/>
      <c r="P33" s="191"/>
    </row>
    <row r="34" spans="1:16" s="103" customFormat="1" ht="224.25" customHeight="1" outlineLevel="2" x14ac:dyDescent="0.2">
      <c r="A34" s="208">
        <v>1</v>
      </c>
      <c r="B34" s="236"/>
      <c r="C34" s="74">
        <v>1</v>
      </c>
      <c r="D34" s="74">
        <v>1.3</v>
      </c>
      <c r="E34" s="129" t="s">
        <v>330</v>
      </c>
      <c r="F34" s="74" t="s">
        <v>163</v>
      </c>
      <c r="G34" s="75" t="s">
        <v>92</v>
      </c>
      <c r="H34" s="76" t="s">
        <v>284</v>
      </c>
      <c r="I34" s="56" t="s">
        <v>133</v>
      </c>
      <c r="J34" s="56" t="s">
        <v>132</v>
      </c>
      <c r="K34" s="109" t="s">
        <v>136</v>
      </c>
      <c r="L34" s="77" t="s">
        <v>28</v>
      </c>
      <c r="M34" s="78" t="s">
        <v>247</v>
      </c>
      <c r="N34" s="178" t="s">
        <v>107</v>
      </c>
      <c r="O34" s="164"/>
      <c r="P34" s="195"/>
    </row>
    <row r="35" spans="1:16" s="103" customFormat="1" ht="144" customHeight="1" outlineLevel="2" x14ac:dyDescent="0.2">
      <c r="A35" s="208">
        <v>2</v>
      </c>
      <c r="B35" s="236"/>
      <c r="C35" s="74">
        <v>1</v>
      </c>
      <c r="D35" s="74">
        <v>1.3</v>
      </c>
      <c r="E35" s="129" t="s">
        <v>330</v>
      </c>
      <c r="F35" s="74" t="s">
        <v>164</v>
      </c>
      <c r="G35" s="75" t="s">
        <v>93</v>
      </c>
      <c r="H35" s="110" t="s">
        <v>283</v>
      </c>
      <c r="I35" s="56" t="s">
        <v>133</v>
      </c>
      <c r="J35" s="56" t="s">
        <v>132</v>
      </c>
      <c r="K35" s="109" t="s">
        <v>136</v>
      </c>
      <c r="L35" s="82" t="s">
        <v>28</v>
      </c>
      <c r="M35" s="78" t="s">
        <v>247</v>
      </c>
      <c r="N35" s="178" t="s">
        <v>107</v>
      </c>
      <c r="O35" s="164"/>
      <c r="P35" s="195"/>
    </row>
    <row r="36" spans="1:16" s="103" customFormat="1" ht="133.5" customHeight="1" outlineLevel="2" x14ac:dyDescent="0.2">
      <c r="A36" s="208">
        <v>3</v>
      </c>
      <c r="B36" s="236"/>
      <c r="C36" s="74">
        <v>1</v>
      </c>
      <c r="D36" s="74">
        <v>1.3</v>
      </c>
      <c r="E36" s="129" t="s">
        <v>330</v>
      </c>
      <c r="F36" s="74" t="s">
        <v>165</v>
      </c>
      <c r="G36" s="75" t="s">
        <v>48</v>
      </c>
      <c r="H36" s="76" t="s">
        <v>282</v>
      </c>
      <c r="I36" s="56" t="s">
        <v>133</v>
      </c>
      <c r="J36" s="56" t="s">
        <v>132</v>
      </c>
      <c r="K36" s="56" t="s">
        <v>136</v>
      </c>
      <c r="L36" s="82" t="s">
        <v>28</v>
      </c>
      <c r="M36" s="83" t="s">
        <v>7</v>
      </c>
      <c r="N36" s="178" t="s">
        <v>107</v>
      </c>
      <c r="O36" s="164"/>
      <c r="P36" s="195"/>
    </row>
    <row r="37" spans="1:16" s="103" customFormat="1" ht="215.25" customHeight="1" outlineLevel="2" x14ac:dyDescent="0.2">
      <c r="A37" s="208">
        <v>4</v>
      </c>
      <c r="B37" s="236"/>
      <c r="C37" s="74">
        <v>1</v>
      </c>
      <c r="D37" s="74">
        <v>1.3</v>
      </c>
      <c r="E37" s="129" t="s">
        <v>330</v>
      </c>
      <c r="F37" s="74" t="s">
        <v>166</v>
      </c>
      <c r="G37" s="75" t="s">
        <v>83</v>
      </c>
      <c r="H37" s="76" t="s">
        <v>254</v>
      </c>
      <c r="I37" s="56" t="s">
        <v>133</v>
      </c>
      <c r="J37" s="56" t="s">
        <v>132</v>
      </c>
      <c r="K37" s="56" t="s">
        <v>136</v>
      </c>
      <c r="L37" s="77" t="s">
        <v>28</v>
      </c>
      <c r="M37" s="78" t="s">
        <v>255</v>
      </c>
      <c r="N37" s="178" t="s">
        <v>107</v>
      </c>
      <c r="O37" s="164"/>
      <c r="P37" s="195"/>
    </row>
    <row r="38" spans="1:16" s="103" customFormat="1" ht="76.5" outlineLevel="2" x14ac:dyDescent="0.2">
      <c r="A38" s="208">
        <v>5</v>
      </c>
      <c r="B38" s="236"/>
      <c r="C38" s="74">
        <v>1</v>
      </c>
      <c r="D38" s="74">
        <v>1.3</v>
      </c>
      <c r="E38" s="129" t="s">
        <v>330</v>
      </c>
      <c r="F38" s="74" t="s">
        <v>167</v>
      </c>
      <c r="G38" s="75" t="s">
        <v>70</v>
      </c>
      <c r="H38" s="102" t="s">
        <v>358</v>
      </c>
      <c r="I38" s="56"/>
      <c r="J38" s="56" t="s">
        <v>132</v>
      </c>
      <c r="K38" s="56"/>
      <c r="L38" s="77" t="s">
        <v>28</v>
      </c>
      <c r="M38" s="83" t="s">
        <v>7</v>
      </c>
      <c r="N38" s="177" t="s">
        <v>108</v>
      </c>
      <c r="O38" s="163"/>
      <c r="P38" s="194"/>
    </row>
    <row r="39" spans="1:16" s="103" customFormat="1" ht="51" outlineLevel="2" x14ac:dyDescent="0.2">
      <c r="A39" s="209">
        <v>6</v>
      </c>
      <c r="B39" s="236"/>
      <c r="C39" s="74">
        <v>1</v>
      </c>
      <c r="D39" s="74">
        <v>1.3</v>
      </c>
      <c r="E39" s="257" t="s">
        <v>129</v>
      </c>
      <c r="F39" s="256" t="s">
        <v>168</v>
      </c>
      <c r="G39" s="258" t="s">
        <v>60</v>
      </c>
      <c r="H39" s="267" t="s">
        <v>357</v>
      </c>
      <c r="I39" s="56"/>
      <c r="J39" s="56" t="s">
        <v>132</v>
      </c>
      <c r="K39" s="56"/>
      <c r="L39" s="77" t="s">
        <v>28</v>
      </c>
      <c r="M39" s="83" t="s">
        <v>7</v>
      </c>
      <c r="N39" s="177" t="s">
        <v>108</v>
      </c>
      <c r="O39" s="252"/>
      <c r="P39" s="194"/>
    </row>
    <row r="40" spans="1:16" s="103" customFormat="1" ht="38.25" outlineLevel="2" x14ac:dyDescent="0.2">
      <c r="A40" s="208">
        <v>7</v>
      </c>
      <c r="B40" s="236"/>
      <c r="C40" s="74">
        <v>1</v>
      </c>
      <c r="D40" s="74">
        <v>1.3</v>
      </c>
      <c r="E40" s="129" t="s">
        <v>330</v>
      </c>
      <c r="F40" s="74" t="s">
        <v>169</v>
      </c>
      <c r="G40" s="101" t="s">
        <v>233</v>
      </c>
      <c r="H40" s="101" t="s">
        <v>234</v>
      </c>
      <c r="I40" s="56" t="s">
        <v>133</v>
      </c>
      <c r="J40" s="56" t="s">
        <v>132</v>
      </c>
      <c r="K40" s="56" t="s">
        <v>136</v>
      </c>
      <c r="L40" s="77" t="s">
        <v>28</v>
      </c>
      <c r="M40" s="83" t="s">
        <v>246</v>
      </c>
      <c r="N40" s="178" t="s">
        <v>107</v>
      </c>
      <c r="O40" s="164"/>
      <c r="P40" s="195"/>
    </row>
    <row r="41" spans="1:16" s="3" customFormat="1" ht="42.6" customHeight="1" x14ac:dyDescent="0.2">
      <c r="A41" s="208">
        <v>0</v>
      </c>
      <c r="B41" s="238"/>
      <c r="C41" s="38">
        <v>2</v>
      </c>
      <c r="D41" s="26"/>
      <c r="E41" s="20"/>
      <c r="F41" s="20"/>
      <c r="G41" s="37" t="s">
        <v>22</v>
      </c>
      <c r="H41" s="9"/>
      <c r="I41" s="59"/>
      <c r="J41" s="59"/>
      <c r="K41" s="59"/>
      <c r="L41" s="51"/>
      <c r="M41" s="59"/>
      <c r="N41" s="179"/>
      <c r="O41" s="161"/>
      <c r="P41" s="196"/>
    </row>
    <row r="42" spans="1:16" s="3" customFormat="1" ht="42.6" customHeight="1" outlineLevel="1" x14ac:dyDescent="0.2">
      <c r="A42" s="208">
        <v>0</v>
      </c>
      <c r="B42" s="239"/>
      <c r="C42" s="21">
        <v>2</v>
      </c>
      <c r="D42" s="27">
        <v>2.1</v>
      </c>
      <c r="E42" s="21"/>
      <c r="F42" s="21"/>
      <c r="G42" s="4" t="s">
        <v>65</v>
      </c>
      <c r="H42" s="48" t="str">
        <f>CONCATENATE("Number of indicators=",COUNTA(G45:G48))</f>
        <v>Number of indicators=2</v>
      </c>
      <c r="I42" s="314" t="s">
        <v>140</v>
      </c>
      <c r="J42" s="314"/>
      <c r="K42" s="148"/>
      <c r="L42" s="52"/>
      <c r="M42" s="60"/>
      <c r="N42" s="180"/>
      <c r="O42" s="165"/>
      <c r="P42" s="197"/>
    </row>
    <row r="43" spans="1:16" s="266" customFormat="1" ht="57" customHeight="1" outlineLevel="2" x14ac:dyDescent="0.2">
      <c r="A43" s="254">
        <v>3</v>
      </c>
      <c r="B43" s="255"/>
      <c r="C43" s="256">
        <v>2</v>
      </c>
      <c r="D43" s="256">
        <v>2.1</v>
      </c>
      <c r="E43" s="257" t="s">
        <v>330</v>
      </c>
      <c r="F43" s="256" t="s">
        <v>170</v>
      </c>
      <c r="G43" s="258" t="s">
        <v>336</v>
      </c>
      <c r="H43" s="259" t="s">
        <v>337</v>
      </c>
      <c r="I43" s="260" t="s">
        <v>133</v>
      </c>
      <c r="J43" s="260" t="s">
        <v>132</v>
      </c>
      <c r="K43" s="260"/>
      <c r="L43" s="261" t="s">
        <v>75</v>
      </c>
      <c r="M43" s="262" t="s">
        <v>244</v>
      </c>
      <c r="N43" s="263" t="s">
        <v>134</v>
      </c>
      <c r="O43" s="264"/>
      <c r="P43" s="265"/>
    </row>
    <row r="44" spans="1:16" s="103" customFormat="1" ht="89.25" customHeight="1" outlineLevel="2" x14ac:dyDescent="0.2">
      <c r="A44" s="209">
        <v>2</v>
      </c>
      <c r="B44" s="236"/>
      <c r="C44" s="74">
        <v>2</v>
      </c>
      <c r="D44" s="74">
        <v>2.1</v>
      </c>
      <c r="E44" s="129" t="s">
        <v>330</v>
      </c>
      <c r="F44" s="256" t="s">
        <v>78</v>
      </c>
      <c r="G44" s="75" t="s">
        <v>63</v>
      </c>
      <c r="H44" s="81" t="s">
        <v>295</v>
      </c>
      <c r="I44" s="56" t="s">
        <v>133</v>
      </c>
      <c r="J44" s="56" t="s">
        <v>132</v>
      </c>
      <c r="K44" s="56"/>
      <c r="L44" s="82" t="s">
        <v>28</v>
      </c>
      <c r="M44" s="83" t="s">
        <v>244</v>
      </c>
      <c r="N44" s="177" t="s">
        <v>134</v>
      </c>
      <c r="O44" s="252"/>
      <c r="P44" s="194"/>
    </row>
    <row r="45" spans="1:16" s="103" customFormat="1" ht="144" customHeight="1" outlineLevel="2" x14ac:dyDescent="0.2">
      <c r="A45" s="208">
        <v>1</v>
      </c>
      <c r="B45" s="236"/>
      <c r="C45" s="74">
        <v>2</v>
      </c>
      <c r="D45" s="74">
        <v>2.1</v>
      </c>
      <c r="E45" s="129" t="s">
        <v>330</v>
      </c>
      <c r="F45" s="74" t="s">
        <v>194</v>
      </c>
      <c r="G45" s="75" t="s">
        <v>64</v>
      </c>
      <c r="H45" s="81" t="s">
        <v>274</v>
      </c>
      <c r="I45" s="56" t="s">
        <v>133</v>
      </c>
      <c r="J45" s="56" t="s">
        <v>132</v>
      </c>
      <c r="K45" s="56"/>
      <c r="L45" s="154" t="s">
        <v>75</v>
      </c>
      <c r="M45" s="83" t="s">
        <v>7</v>
      </c>
      <c r="N45" s="177" t="s">
        <v>134</v>
      </c>
      <c r="O45" s="163"/>
      <c r="P45" s="194"/>
    </row>
    <row r="46" spans="1:16" ht="0" hidden="1" customHeight="1" x14ac:dyDescent="0.2"/>
    <row r="48" spans="1:16" s="103" customFormat="1" ht="210.75" customHeight="1" outlineLevel="2" x14ac:dyDescent="0.2">
      <c r="A48" s="208">
        <v>4</v>
      </c>
      <c r="B48" s="236"/>
      <c r="C48" s="74">
        <v>2</v>
      </c>
      <c r="D48" s="74">
        <v>2.1</v>
      </c>
      <c r="E48" s="129" t="s">
        <v>330</v>
      </c>
      <c r="F48" s="74" t="s">
        <v>171</v>
      </c>
      <c r="G48" s="75" t="s">
        <v>81</v>
      </c>
      <c r="H48" s="267" t="s">
        <v>338</v>
      </c>
      <c r="I48" s="56" t="s">
        <v>133</v>
      </c>
      <c r="J48" s="56" t="s">
        <v>132</v>
      </c>
      <c r="K48" s="56" t="s">
        <v>136</v>
      </c>
      <c r="L48" s="154" t="s">
        <v>75</v>
      </c>
      <c r="M48" s="83" t="s">
        <v>7</v>
      </c>
      <c r="N48" s="177" t="s">
        <v>134</v>
      </c>
      <c r="O48" s="163"/>
      <c r="P48" s="194"/>
    </row>
    <row r="49" spans="1:16" s="3" customFormat="1" ht="42.6" customHeight="1" outlineLevel="1" x14ac:dyDescent="0.2">
      <c r="A49" s="208">
        <v>0</v>
      </c>
      <c r="B49" s="239"/>
      <c r="C49" s="21">
        <v>2</v>
      </c>
      <c r="D49" s="27">
        <v>2.2000000000000002</v>
      </c>
      <c r="E49" s="21"/>
      <c r="F49" s="21"/>
      <c r="G49" s="4" t="s">
        <v>66</v>
      </c>
      <c r="H49" s="48" t="str">
        <f>CONCATENATE("Number of indicators=",COUNTA(G51:G56))</f>
        <v>Number of indicators=6</v>
      </c>
      <c r="I49" s="314" t="s">
        <v>140</v>
      </c>
      <c r="J49" s="314"/>
      <c r="K49" s="148"/>
      <c r="L49" s="52"/>
      <c r="M49" s="60"/>
      <c r="N49" s="180"/>
      <c r="O49" s="165"/>
      <c r="P49" s="197"/>
    </row>
    <row r="50" spans="1:16" s="155" customFormat="1" ht="15.75" outlineLevel="1" x14ac:dyDescent="0.2">
      <c r="A50" s="225">
        <v>0</v>
      </c>
      <c r="B50" s="240"/>
      <c r="C50" s="217">
        <v>2</v>
      </c>
      <c r="D50" s="217">
        <v>2.2000000000000002</v>
      </c>
      <c r="E50" s="215" t="s">
        <v>330</v>
      </c>
      <c r="F50" s="219"/>
      <c r="G50" s="219" t="s">
        <v>231</v>
      </c>
      <c r="H50" s="219"/>
      <c r="I50" s="219"/>
      <c r="J50" s="219"/>
      <c r="K50" s="219"/>
      <c r="L50" s="219"/>
      <c r="M50" s="219"/>
      <c r="N50" s="220"/>
      <c r="O50" s="221"/>
      <c r="P50" s="198"/>
    </row>
    <row r="51" spans="1:16" s="103" customFormat="1" ht="61.5" customHeight="1" outlineLevel="2" x14ac:dyDescent="0.2">
      <c r="A51" s="208">
        <v>1</v>
      </c>
      <c r="B51" s="236"/>
      <c r="C51" s="74">
        <v>2</v>
      </c>
      <c r="D51" s="74">
        <v>2.2000000000000002</v>
      </c>
      <c r="E51" s="129" t="s">
        <v>330</v>
      </c>
      <c r="F51" s="74" t="s">
        <v>172</v>
      </c>
      <c r="G51" s="25" t="s">
        <v>53</v>
      </c>
      <c r="H51" s="102" t="s">
        <v>345</v>
      </c>
      <c r="I51" s="56" t="s">
        <v>133</v>
      </c>
      <c r="J51" s="56" t="s">
        <v>132</v>
      </c>
      <c r="K51" s="56" t="s">
        <v>136</v>
      </c>
      <c r="L51" s="82" t="s">
        <v>28</v>
      </c>
      <c r="M51" s="83" t="s">
        <v>6</v>
      </c>
      <c r="N51" s="177" t="s">
        <v>134</v>
      </c>
      <c r="O51" s="163"/>
      <c r="P51" s="194"/>
    </row>
    <row r="52" spans="1:16" s="103" customFormat="1" ht="191.25" outlineLevel="2" x14ac:dyDescent="0.2">
      <c r="A52" s="208">
        <v>2</v>
      </c>
      <c r="B52" s="236"/>
      <c r="C52" s="74">
        <v>2</v>
      </c>
      <c r="D52" s="74">
        <v>2.2000000000000002</v>
      </c>
      <c r="E52" s="129" t="s">
        <v>330</v>
      </c>
      <c r="F52" s="74" t="s">
        <v>173</v>
      </c>
      <c r="G52" s="108" t="s">
        <v>61</v>
      </c>
      <c r="H52" s="111" t="s">
        <v>324</v>
      </c>
      <c r="I52" s="56" t="s">
        <v>133</v>
      </c>
      <c r="J52" s="56" t="s">
        <v>132</v>
      </c>
      <c r="K52" s="56" t="s">
        <v>136</v>
      </c>
      <c r="L52" s="82" t="s">
        <v>28</v>
      </c>
      <c r="M52" s="83" t="s">
        <v>7</v>
      </c>
      <c r="N52" s="177" t="s">
        <v>134</v>
      </c>
      <c r="O52" s="163"/>
      <c r="P52" s="194"/>
    </row>
    <row r="53" spans="1:16" s="103" customFormat="1" ht="107.25" customHeight="1" outlineLevel="2" x14ac:dyDescent="0.2">
      <c r="A53" s="209">
        <v>3</v>
      </c>
      <c r="B53" s="236"/>
      <c r="C53" s="74">
        <v>2</v>
      </c>
      <c r="D53" s="74">
        <v>2.2000000000000002</v>
      </c>
      <c r="E53" s="129" t="s">
        <v>330</v>
      </c>
      <c r="F53" s="74" t="s">
        <v>174</v>
      </c>
      <c r="G53" s="25" t="s">
        <v>110</v>
      </c>
      <c r="H53" s="258" t="s">
        <v>340</v>
      </c>
      <c r="I53" s="56"/>
      <c r="J53" s="56" t="s">
        <v>132</v>
      </c>
      <c r="K53" s="56"/>
      <c r="L53" s="154" t="s">
        <v>75</v>
      </c>
      <c r="M53" s="83" t="s">
        <v>244</v>
      </c>
      <c r="N53" s="177" t="s">
        <v>134</v>
      </c>
      <c r="O53" s="252"/>
      <c r="P53" s="194"/>
    </row>
    <row r="54" spans="1:16" s="103" customFormat="1" ht="100.5" customHeight="1" outlineLevel="2" x14ac:dyDescent="0.2">
      <c r="A54" s="208">
        <v>4</v>
      </c>
      <c r="B54" s="236"/>
      <c r="C54" s="74">
        <v>2</v>
      </c>
      <c r="D54" s="74">
        <v>2.2000000000000002</v>
      </c>
      <c r="E54" s="129" t="s">
        <v>330</v>
      </c>
      <c r="F54" s="74" t="s">
        <v>175</v>
      </c>
      <c r="G54" s="25" t="s">
        <v>112</v>
      </c>
      <c r="H54" s="75" t="s">
        <v>111</v>
      </c>
      <c r="I54" s="56" t="s">
        <v>133</v>
      </c>
      <c r="J54" s="56" t="s">
        <v>132</v>
      </c>
      <c r="K54" s="78"/>
      <c r="L54" s="154" t="s">
        <v>75</v>
      </c>
      <c r="M54" s="83" t="s">
        <v>244</v>
      </c>
      <c r="N54" s="177" t="s">
        <v>134</v>
      </c>
      <c r="O54" s="163"/>
      <c r="P54" s="194"/>
    </row>
    <row r="55" spans="1:16" s="112" customFormat="1" ht="93" customHeight="1" outlineLevel="1" x14ac:dyDescent="0.2">
      <c r="A55" s="208">
        <v>5</v>
      </c>
      <c r="B55" s="236"/>
      <c r="C55" s="74">
        <v>2</v>
      </c>
      <c r="D55" s="74">
        <v>2.2000000000000002</v>
      </c>
      <c r="E55" s="129" t="s">
        <v>330</v>
      </c>
      <c r="F55" s="74" t="s">
        <v>176</v>
      </c>
      <c r="G55" s="25" t="s">
        <v>88</v>
      </c>
      <c r="H55" s="75" t="s">
        <v>94</v>
      </c>
      <c r="I55" s="56" t="s">
        <v>133</v>
      </c>
      <c r="J55" s="56" t="s">
        <v>132</v>
      </c>
      <c r="K55" s="78"/>
      <c r="L55" s="154" t="s">
        <v>75</v>
      </c>
      <c r="M55" s="83" t="s">
        <v>244</v>
      </c>
      <c r="N55" s="177" t="s">
        <v>134</v>
      </c>
      <c r="O55" s="163"/>
      <c r="P55" s="194"/>
    </row>
    <row r="56" spans="1:16" ht="81" customHeight="1" x14ac:dyDescent="0.2">
      <c r="A56" s="208">
        <v>6</v>
      </c>
      <c r="B56" s="235"/>
      <c r="C56" s="132">
        <v>2</v>
      </c>
      <c r="D56" s="132">
        <v>2.2000000000000002</v>
      </c>
      <c r="E56" s="129" t="s">
        <v>330</v>
      </c>
      <c r="F56" s="74" t="s">
        <v>177</v>
      </c>
      <c r="G56" s="133" t="s">
        <v>120</v>
      </c>
      <c r="H56" s="133" t="s">
        <v>119</v>
      </c>
      <c r="I56" s="128" t="s">
        <v>304</v>
      </c>
      <c r="J56" s="56" t="s">
        <v>132</v>
      </c>
      <c r="K56" s="128"/>
      <c r="L56" s="154" t="s">
        <v>75</v>
      </c>
      <c r="M56" s="83" t="s">
        <v>244</v>
      </c>
      <c r="N56" s="177" t="s">
        <v>134</v>
      </c>
      <c r="O56" s="163"/>
      <c r="P56" s="194"/>
    </row>
    <row r="57" spans="1:16" s="3" customFormat="1" ht="100.5" customHeight="1" outlineLevel="1" x14ac:dyDescent="0.2">
      <c r="A57" s="208">
        <v>0</v>
      </c>
      <c r="B57" s="239"/>
      <c r="C57" s="21">
        <v>2</v>
      </c>
      <c r="D57" s="27">
        <v>2.2999999999999998</v>
      </c>
      <c r="E57" s="21"/>
      <c r="F57" s="35"/>
      <c r="G57" s="4" t="s">
        <v>62</v>
      </c>
      <c r="H57" s="48" t="str">
        <f>CONCATENATE("Number of indicators=",COUNTA(G58:G59))</f>
        <v>Number of indicators=2</v>
      </c>
      <c r="I57" s="314" t="s">
        <v>140</v>
      </c>
      <c r="J57" s="314"/>
      <c r="K57" s="148"/>
      <c r="L57" s="52"/>
      <c r="M57" s="60"/>
      <c r="N57" s="180"/>
      <c r="O57" s="165"/>
      <c r="P57" s="197"/>
    </row>
    <row r="58" spans="1:16" s="103" customFormat="1" ht="81.75" customHeight="1" outlineLevel="2" x14ac:dyDescent="0.2">
      <c r="A58" s="209">
        <v>1</v>
      </c>
      <c r="B58" s="236"/>
      <c r="C58" s="74">
        <v>2</v>
      </c>
      <c r="D58" s="74">
        <v>2.2999999999999998</v>
      </c>
      <c r="E58" s="129" t="s">
        <v>330</v>
      </c>
      <c r="F58" s="74" t="s">
        <v>178</v>
      </c>
      <c r="G58" s="101" t="s">
        <v>51</v>
      </c>
      <c r="H58" s="259" t="s">
        <v>317</v>
      </c>
      <c r="I58" s="56" t="s">
        <v>133</v>
      </c>
      <c r="J58" s="56" t="s">
        <v>132</v>
      </c>
      <c r="K58" s="56" t="s">
        <v>136</v>
      </c>
      <c r="L58" s="82" t="s">
        <v>28</v>
      </c>
      <c r="M58" s="83" t="s">
        <v>7</v>
      </c>
      <c r="N58" s="177" t="s">
        <v>107</v>
      </c>
      <c r="O58" s="252"/>
      <c r="P58" s="194"/>
    </row>
    <row r="59" spans="1:16" s="103" customFormat="1" ht="89.25" customHeight="1" outlineLevel="2" x14ac:dyDescent="0.2">
      <c r="A59" s="208">
        <v>2</v>
      </c>
      <c r="B59" s="236"/>
      <c r="C59" s="74">
        <v>2</v>
      </c>
      <c r="D59" s="74">
        <v>2.2999999999999998</v>
      </c>
      <c r="E59" s="79" t="s">
        <v>130</v>
      </c>
      <c r="F59" s="98" t="s">
        <v>179</v>
      </c>
      <c r="G59" s="101" t="s">
        <v>52</v>
      </c>
      <c r="H59" s="81" t="s">
        <v>341</v>
      </c>
      <c r="I59" s="56" t="s">
        <v>133</v>
      </c>
      <c r="J59" s="56" t="s">
        <v>132</v>
      </c>
      <c r="K59" s="56"/>
      <c r="L59" s="154" t="s">
        <v>75</v>
      </c>
      <c r="M59" s="99" t="s">
        <v>7</v>
      </c>
      <c r="N59" s="177" t="s">
        <v>134</v>
      </c>
      <c r="O59" s="163"/>
      <c r="P59" s="194"/>
    </row>
    <row r="60" spans="1:16" s="3" customFormat="1" ht="60" customHeight="1" outlineLevel="1" x14ac:dyDescent="0.2">
      <c r="A60" s="208">
        <v>0</v>
      </c>
      <c r="B60" s="239"/>
      <c r="C60" s="21">
        <v>2</v>
      </c>
      <c r="D60" s="27">
        <v>2.4</v>
      </c>
      <c r="E60" s="21"/>
      <c r="F60" s="35"/>
      <c r="G60" s="113" t="s">
        <v>56</v>
      </c>
      <c r="H60" s="48" t="str">
        <f>CONCATENATE("Number of indicators=",COUNTA(G61:G64))</f>
        <v>Number of indicators=4</v>
      </c>
      <c r="I60" s="314" t="s">
        <v>140</v>
      </c>
      <c r="J60" s="314"/>
      <c r="K60" s="148"/>
      <c r="L60" s="52"/>
      <c r="M60" s="60"/>
      <c r="N60" s="180"/>
      <c r="O60" s="165"/>
      <c r="P60" s="197"/>
    </row>
    <row r="61" spans="1:16" s="103" customFormat="1" ht="59.25" customHeight="1" outlineLevel="2" x14ac:dyDescent="0.2">
      <c r="A61" s="209">
        <v>1</v>
      </c>
      <c r="B61" s="236"/>
      <c r="C61" s="74">
        <v>2</v>
      </c>
      <c r="D61" s="74">
        <v>2.4</v>
      </c>
      <c r="E61" s="129" t="s">
        <v>330</v>
      </c>
      <c r="F61" s="74" t="s">
        <v>180</v>
      </c>
      <c r="G61" s="101" t="s">
        <v>55</v>
      </c>
      <c r="H61" s="259" t="s">
        <v>318</v>
      </c>
      <c r="I61" s="56" t="s">
        <v>133</v>
      </c>
      <c r="J61" s="260" t="s">
        <v>132</v>
      </c>
      <c r="K61" s="56" t="s">
        <v>136</v>
      </c>
      <c r="L61" s="82" t="s">
        <v>28</v>
      </c>
      <c r="M61" s="83" t="s">
        <v>7</v>
      </c>
      <c r="N61" s="177" t="s">
        <v>235</v>
      </c>
      <c r="O61" s="252"/>
      <c r="P61" s="194"/>
    </row>
    <row r="62" spans="1:16" s="103" customFormat="1" ht="105.75" customHeight="1" outlineLevel="2" x14ac:dyDescent="0.2">
      <c r="A62" s="208">
        <v>2</v>
      </c>
      <c r="B62" s="236"/>
      <c r="C62" s="74">
        <v>2</v>
      </c>
      <c r="D62" s="74">
        <v>2.4</v>
      </c>
      <c r="E62" s="129" t="s">
        <v>330</v>
      </c>
      <c r="F62" s="74" t="s">
        <v>181</v>
      </c>
      <c r="G62" s="101" t="s">
        <v>5</v>
      </c>
      <c r="H62" s="81" t="s">
        <v>275</v>
      </c>
      <c r="I62" s="56" t="s">
        <v>133</v>
      </c>
      <c r="J62" s="56" t="s">
        <v>132</v>
      </c>
      <c r="K62" s="56" t="s">
        <v>136</v>
      </c>
      <c r="L62" s="82" t="s">
        <v>28</v>
      </c>
      <c r="M62" s="83" t="s">
        <v>7</v>
      </c>
      <c r="N62" s="177" t="s">
        <v>243</v>
      </c>
      <c r="O62" s="163"/>
      <c r="P62" s="194"/>
    </row>
    <row r="63" spans="1:16" s="103" customFormat="1" ht="94.5" customHeight="1" outlineLevel="2" x14ac:dyDescent="0.2">
      <c r="A63" s="208">
        <v>3</v>
      </c>
      <c r="B63" s="241"/>
      <c r="C63" s="114">
        <v>2</v>
      </c>
      <c r="D63" s="74">
        <v>2.4</v>
      </c>
      <c r="E63" s="79" t="s">
        <v>130</v>
      </c>
      <c r="F63" s="74" t="s">
        <v>182</v>
      </c>
      <c r="G63" s="101" t="s">
        <v>9</v>
      </c>
      <c r="H63" s="81" t="s">
        <v>276</v>
      </c>
      <c r="I63" s="56" t="s">
        <v>133</v>
      </c>
      <c r="J63" s="56" t="s">
        <v>132</v>
      </c>
      <c r="K63" s="56"/>
      <c r="L63" s="82" t="s">
        <v>109</v>
      </c>
      <c r="M63" s="83" t="s">
        <v>7</v>
      </c>
      <c r="N63" s="177" t="s">
        <v>107</v>
      </c>
      <c r="O63" s="163"/>
      <c r="P63" s="194"/>
    </row>
    <row r="64" spans="1:16" s="103" customFormat="1" ht="112.5" customHeight="1" outlineLevel="2" x14ac:dyDescent="0.2">
      <c r="A64" s="208">
        <v>4</v>
      </c>
      <c r="B64" s="241"/>
      <c r="C64" s="114">
        <v>2</v>
      </c>
      <c r="D64" s="74">
        <v>2.4</v>
      </c>
      <c r="E64" s="79" t="s">
        <v>130</v>
      </c>
      <c r="F64" s="74" t="s">
        <v>183</v>
      </c>
      <c r="G64" s="108" t="s">
        <v>10</v>
      </c>
      <c r="H64" s="102" t="s">
        <v>277</v>
      </c>
      <c r="I64" s="56" t="s">
        <v>133</v>
      </c>
      <c r="J64" s="56" t="s">
        <v>132</v>
      </c>
      <c r="K64" s="56"/>
      <c r="L64" s="82" t="s">
        <v>28</v>
      </c>
      <c r="M64" s="83" t="s">
        <v>7</v>
      </c>
      <c r="N64" s="177" t="s">
        <v>107</v>
      </c>
      <c r="O64" s="163"/>
      <c r="P64" s="194"/>
    </row>
    <row r="65" spans="1:16" s="3" customFormat="1" ht="72" customHeight="1" outlineLevel="1" x14ac:dyDescent="0.2">
      <c r="A65" s="208">
        <v>0</v>
      </c>
      <c r="B65" s="239"/>
      <c r="C65" s="21">
        <v>2</v>
      </c>
      <c r="D65" s="27">
        <v>2.5</v>
      </c>
      <c r="E65" s="21"/>
      <c r="F65" s="35"/>
      <c r="G65" s="4" t="s">
        <v>54</v>
      </c>
      <c r="H65" s="48" t="str">
        <f>CONCATENATE("Number of indicators=",COUNTA(G66:G68))</f>
        <v>Number of indicators=3</v>
      </c>
      <c r="I65" s="314" t="s">
        <v>140</v>
      </c>
      <c r="J65" s="314"/>
      <c r="K65" s="148"/>
      <c r="L65" s="52"/>
      <c r="M65" s="60"/>
      <c r="N65" s="180"/>
      <c r="O65" s="165"/>
      <c r="P65" s="197"/>
    </row>
    <row r="66" spans="1:16" s="103" customFormat="1" ht="67.5" customHeight="1" outlineLevel="2" x14ac:dyDescent="0.2">
      <c r="A66" s="208">
        <v>1</v>
      </c>
      <c r="B66" s="236"/>
      <c r="C66" s="74">
        <v>2</v>
      </c>
      <c r="D66" s="74">
        <v>2.5</v>
      </c>
      <c r="E66" s="79" t="s">
        <v>130</v>
      </c>
      <c r="F66" s="74" t="s">
        <v>184</v>
      </c>
      <c r="G66" s="80" t="s">
        <v>50</v>
      </c>
      <c r="H66" s="81" t="s">
        <v>278</v>
      </c>
      <c r="I66" s="56" t="s">
        <v>133</v>
      </c>
      <c r="J66" s="56" t="s">
        <v>132</v>
      </c>
      <c r="K66" s="56"/>
      <c r="L66" s="154" t="s">
        <v>75</v>
      </c>
      <c r="M66" s="83" t="s">
        <v>7</v>
      </c>
      <c r="N66" s="177" t="s">
        <v>113</v>
      </c>
      <c r="O66" s="163"/>
      <c r="P66" s="194"/>
    </row>
    <row r="67" spans="1:16" s="103" customFormat="1" ht="69.75" customHeight="1" outlineLevel="2" x14ac:dyDescent="0.2">
      <c r="A67" s="208">
        <v>2</v>
      </c>
      <c r="B67" s="236"/>
      <c r="C67" s="74">
        <v>2</v>
      </c>
      <c r="D67" s="74">
        <v>2.5</v>
      </c>
      <c r="E67" s="129" t="s">
        <v>330</v>
      </c>
      <c r="F67" s="74" t="s">
        <v>185</v>
      </c>
      <c r="G67" s="80" t="s">
        <v>84</v>
      </c>
      <c r="H67" s="81" t="s">
        <v>325</v>
      </c>
      <c r="I67" s="56" t="s">
        <v>133</v>
      </c>
      <c r="J67" s="56" t="s">
        <v>132</v>
      </c>
      <c r="K67" s="56" t="s">
        <v>136</v>
      </c>
      <c r="L67" s="82" t="s">
        <v>28</v>
      </c>
      <c r="M67" s="83" t="s">
        <v>7</v>
      </c>
      <c r="N67" s="177" t="s">
        <v>107</v>
      </c>
      <c r="O67" s="163"/>
      <c r="P67" s="194"/>
    </row>
    <row r="68" spans="1:16" s="103" customFormat="1" ht="68.25" customHeight="1" outlineLevel="2" x14ac:dyDescent="0.2">
      <c r="A68" s="208">
        <v>3</v>
      </c>
      <c r="B68" s="236"/>
      <c r="C68" s="74">
        <v>2</v>
      </c>
      <c r="D68" s="74">
        <v>2.5</v>
      </c>
      <c r="E68" s="79" t="s">
        <v>130</v>
      </c>
      <c r="F68" s="74" t="s">
        <v>186</v>
      </c>
      <c r="G68" s="104" t="s">
        <v>49</v>
      </c>
      <c r="H68" s="81" t="s">
        <v>279</v>
      </c>
      <c r="I68" s="56" t="s">
        <v>133</v>
      </c>
      <c r="J68" s="56" t="s">
        <v>132</v>
      </c>
      <c r="K68" s="56"/>
      <c r="L68" s="154" t="s">
        <v>75</v>
      </c>
      <c r="M68" s="83" t="s">
        <v>6</v>
      </c>
      <c r="N68" s="177" t="s">
        <v>134</v>
      </c>
      <c r="O68" s="163"/>
      <c r="P68" s="194"/>
    </row>
    <row r="69" spans="1:16" s="3" customFormat="1" ht="52.5" customHeight="1" x14ac:dyDescent="0.2">
      <c r="A69" s="208">
        <v>0</v>
      </c>
      <c r="B69" s="242"/>
      <c r="C69" s="39">
        <v>3</v>
      </c>
      <c r="D69" s="28"/>
      <c r="E69" s="22"/>
      <c r="F69" s="22"/>
      <c r="G69" s="42" t="s">
        <v>323</v>
      </c>
      <c r="H69" s="43"/>
      <c r="I69" s="61"/>
      <c r="J69" s="61"/>
      <c r="K69" s="61"/>
      <c r="L69" s="53"/>
      <c r="M69" s="61"/>
      <c r="N69" s="181"/>
      <c r="O69" s="161"/>
      <c r="P69" s="199"/>
    </row>
    <row r="70" spans="1:16" s="3" customFormat="1" ht="47.25" customHeight="1" outlineLevel="1" x14ac:dyDescent="0.2">
      <c r="A70" s="208">
        <v>0</v>
      </c>
      <c r="B70" s="243"/>
      <c r="C70" s="29">
        <v>3</v>
      </c>
      <c r="D70" s="206">
        <v>3.1</v>
      </c>
      <c r="E70" s="65"/>
      <c r="F70" s="65"/>
      <c r="G70" s="12" t="s">
        <v>24</v>
      </c>
      <c r="H70" s="115" t="str">
        <f>CONCATENATE("Number of indicators=",COUNTA(G72:G74))</f>
        <v>Number of indicators=3</v>
      </c>
      <c r="I70" s="315" t="s">
        <v>140</v>
      </c>
      <c r="J70" s="315"/>
      <c r="K70" s="149"/>
      <c r="L70" s="116"/>
      <c r="M70" s="66"/>
      <c r="N70" s="182"/>
      <c r="O70" s="166"/>
      <c r="P70" s="200"/>
    </row>
    <row r="71" spans="1:16" s="3" customFormat="1" ht="18.75" outlineLevel="1" x14ac:dyDescent="0.2">
      <c r="A71" s="210">
        <v>0</v>
      </c>
      <c r="B71" s="236"/>
      <c r="C71" s="217">
        <v>3</v>
      </c>
      <c r="D71" s="218">
        <v>3.1</v>
      </c>
      <c r="E71" s="215" t="s">
        <v>330</v>
      </c>
      <c r="F71" s="253"/>
      <c r="G71" s="211" t="s">
        <v>232</v>
      </c>
      <c r="H71" s="211"/>
      <c r="I71" s="211"/>
      <c r="J71" s="211"/>
      <c r="K71" s="211"/>
      <c r="L71" s="211"/>
      <c r="M71" s="211"/>
      <c r="N71" s="212"/>
      <c r="O71" s="213"/>
      <c r="P71" s="201"/>
    </row>
    <row r="72" spans="1:16" s="103" customFormat="1" ht="106.5" customHeight="1" outlineLevel="2" x14ac:dyDescent="0.2">
      <c r="A72" s="208">
        <v>1</v>
      </c>
      <c r="B72" s="236"/>
      <c r="C72" s="74">
        <v>3</v>
      </c>
      <c r="D72" s="156">
        <v>3.1</v>
      </c>
      <c r="E72" s="129" t="s">
        <v>129</v>
      </c>
      <c r="F72" s="74" t="s">
        <v>187</v>
      </c>
      <c r="G72" s="73" t="s">
        <v>16</v>
      </c>
      <c r="H72" s="81" t="s">
        <v>326</v>
      </c>
      <c r="I72" s="56" t="s">
        <v>133</v>
      </c>
      <c r="J72" s="56" t="s">
        <v>132</v>
      </c>
      <c r="K72" s="56"/>
      <c r="L72" s="82" t="s">
        <v>109</v>
      </c>
      <c r="M72" s="83" t="s">
        <v>7</v>
      </c>
      <c r="N72" s="177" t="s">
        <v>107</v>
      </c>
      <c r="O72" s="163"/>
      <c r="P72" s="194"/>
    </row>
    <row r="73" spans="1:16" s="103" customFormat="1" ht="170.25" customHeight="1" outlineLevel="2" x14ac:dyDescent="0.2">
      <c r="A73" s="209">
        <v>2</v>
      </c>
      <c r="B73" s="236"/>
      <c r="C73" s="74">
        <v>3</v>
      </c>
      <c r="D73" s="156">
        <v>3.1</v>
      </c>
      <c r="E73" s="129" t="s">
        <v>330</v>
      </c>
      <c r="F73" s="74" t="s">
        <v>188</v>
      </c>
      <c r="G73" s="73" t="s">
        <v>36</v>
      </c>
      <c r="H73" s="259" t="s">
        <v>339</v>
      </c>
      <c r="I73" s="56" t="s">
        <v>138</v>
      </c>
      <c r="J73" s="56" t="s">
        <v>139</v>
      </c>
      <c r="K73" s="56"/>
      <c r="L73" s="82" t="s">
        <v>114</v>
      </c>
      <c r="M73" s="83" t="s">
        <v>7</v>
      </c>
      <c r="N73" s="177" t="s">
        <v>107</v>
      </c>
      <c r="O73" s="252"/>
      <c r="P73" s="194"/>
    </row>
    <row r="74" spans="1:16" s="103" customFormat="1" ht="74.25" customHeight="1" outlineLevel="2" x14ac:dyDescent="0.2">
      <c r="A74" s="208">
        <v>3</v>
      </c>
      <c r="B74" s="236"/>
      <c r="C74" s="74">
        <v>3</v>
      </c>
      <c r="D74" s="156">
        <v>3.1</v>
      </c>
      <c r="E74" s="129" t="s">
        <v>330</v>
      </c>
      <c r="F74" s="74" t="s">
        <v>189</v>
      </c>
      <c r="G74" s="73" t="s">
        <v>37</v>
      </c>
      <c r="H74" s="81" t="s">
        <v>262</v>
      </c>
      <c r="I74" s="56" t="s">
        <v>138</v>
      </c>
      <c r="J74" s="56" t="s">
        <v>139</v>
      </c>
      <c r="K74" s="56"/>
      <c r="L74" s="82" t="s">
        <v>114</v>
      </c>
      <c r="M74" s="83" t="s">
        <v>7</v>
      </c>
      <c r="N74" s="177" t="s">
        <v>107</v>
      </c>
      <c r="O74" s="163"/>
      <c r="P74" s="194"/>
    </row>
    <row r="75" spans="1:16" s="3" customFormat="1" ht="47.25" customHeight="1" outlineLevel="1" x14ac:dyDescent="0.2">
      <c r="A75" s="208">
        <v>0</v>
      </c>
      <c r="B75" s="243"/>
      <c r="C75" s="29">
        <v>3</v>
      </c>
      <c r="D75" s="29">
        <v>3.2</v>
      </c>
      <c r="E75" s="65"/>
      <c r="F75" s="65"/>
      <c r="G75" s="69" t="s">
        <v>115</v>
      </c>
      <c r="H75" s="115" t="str">
        <f>CONCATENATE("Number of indicators=",COUNTA(G76:G79))</f>
        <v>Number of indicators=4</v>
      </c>
      <c r="I75" s="315" t="s">
        <v>140</v>
      </c>
      <c r="J75" s="315"/>
      <c r="K75" s="149"/>
      <c r="L75" s="116"/>
      <c r="M75" s="66"/>
      <c r="N75" s="182"/>
      <c r="O75" s="166"/>
      <c r="P75" s="200"/>
    </row>
    <row r="76" spans="1:16" s="103" customFormat="1" ht="84" customHeight="1" outlineLevel="2" x14ac:dyDescent="0.2">
      <c r="A76" s="209">
        <v>1</v>
      </c>
      <c r="B76" s="236"/>
      <c r="C76" s="74">
        <v>3</v>
      </c>
      <c r="D76" s="74">
        <v>3.2</v>
      </c>
      <c r="E76" s="257" t="s">
        <v>331</v>
      </c>
      <c r="F76" s="74" t="s">
        <v>190</v>
      </c>
      <c r="G76" s="183" t="s">
        <v>102</v>
      </c>
      <c r="H76" s="285" t="s">
        <v>346</v>
      </c>
      <c r="I76" s="56" t="s">
        <v>133</v>
      </c>
      <c r="J76" s="56" t="s">
        <v>132</v>
      </c>
      <c r="K76" s="56" t="s">
        <v>136</v>
      </c>
      <c r="L76" s="82" t="s">
        <v>28</v>
      </c>
      <c r="M76" s="83" t="s">
        <v>6</v>
      </c>
      <c r="N76" s="177" t="s">
        <v>134</v>
      </c>
      <c r="O76" s="252"/>
      <c r="P76" s="194"/>
    </row>
    <row r="77" spans="1:16" s="103" customFormat="1" ht="127.5" outlineLevel="2" x14ac:dyDescent="0.2">
      <c r="A77" s="209">
        <v>2</v>
      </c>
      <c r="B77" s="236"/>
      <c r="C77" s="74">
        <v>3</v>
      </c>
      <c r="D77" s="74">
        <v>3.2</v>
      </c>
      <c r="E77" s="257" t="s">
        <v>331</v>
      </c>
      <c r="F77" s="74" t="s">
        <v>191</v>
      </c>
      <c r="G77" s="108" t="s">
        <v>342</v>
      </c>
      <c r="H77" s="81" t="s">
        <v>347</v>
      </c>
      <c r="I77" s="56" t="s">
        <v>133</v>
      </c>
      <c r="J77" s="56" t="s">
        <v>132</v>
      </c>
      <c r="K77" s="56" t="s">
        <v>136</v>
      </c>
      <c r="L77" s="154" t="s">
        <v>75</v>
      </c>
      <c r="M77" s="83" t="s">
        <v>7</v>
      </c>
      <c r="N77" s="177" t="s">
        <v>134</v>
      </c>
      <c r="O77" s="252"/>
      <c r="P77" s="194"/>
    </row>
    <row r="78" spans="1:16" s="103" customFormat="1" ht="107.25" customHeight="1" outlineLevel="2" x14ac:dyDescent="0.2">
      <c r="A78" s="209">
        <v>3</v>
      </c>
      <c r="B78" s="236"/>
      <c r="C78" s="74">
        <v>3</v>
      </c>
      <c r="D78" s="74">
        <v>3.2</v>
      </c>
      <c r="E78" s="129" t="s">
        <v>330</v>
      </c>
      <c r="F78" s="74" t="s">
        <v>192</v>
      </c>
      <c r="G78" s="271" t="s">
        <v>352</v>
      </c>
      <c r="H78" s="267" t="s">
        <v>263</v>
      </c>
      <c r="I78" s="56" t="s">
        <v>133</v>
      </c>
      <c r="J78" s="56" t="s">
        <v>132</v>
      </c>
      <c r="K78" s="56" t="s">
        <v>136</v>
      </c>
      <c r="L78" s="82" t="s">
        <v>28</v>
      </c>
      <c r="M78" s="118" t="s">
        <v>255</v>
      </c>
      <c r="N78" s="282" t="s">
        <v>319</v>
      </c>
      <c r="O78" s="283"/>
      <c r="P78" s="286"/>
    </row>
    <row r="79" spans="1:16" s="103" customFormat="1" ht="186.75" customHeight="1" outlineLevel="2" x14ac:dyDescent="0.2">
      <c r="A79" s="209">
        <v>4</v>
      </c>
      <c r="B79" s="236"/>
      <c r="C79" s="74">
        <v>3</v>
      </c>
      <c r="D79" s="74">
        <v>3.2</v>
      </c>
      <c r="E79" s="79" t="s">
        <v>130</v>
      </c>
      <c r="F79" s="74" t="s">
        <v>193</v>
      </c>
      <c r="G79" s="108" t="s">
        <v>38</v>
      </c>
      <c r="H79" s="102" t="s">
        <v>297</v>
      </c>
      <c r="I79" s="56" t="s">
        <v>133</v>
      </c>
      <c r="J79" s="260" t="s">
        <v>132</v>
      </c>
      <c r="K79" s="56"/>
      <c r="L79" s="82" t="s">
        <v>109</v>
      </c>
      <c r="M79" s="118" t="s">
        <v>39</v>
      </c>
      <c r="N79" s="282" t="s">
        <v>134</v>
      </c>
      <c r="O79" s="283"/>
      <c r="P79" s="286"/>
    </row>
    <row r="80" spans="1:16" s="3" customFormat="1" ht="45.75" customHeight="1" outlineLevel="1" x14ac:dyDescent="0.2">
      <c r="A80" s="208">
        <v>0</v>
      </c>
      <c r="B80" s="243"/>
      <c r="C80" s="29">
        <v>3</v>
      </c>
      <c r="D80" s="29">
        <v>3.3</v>
      </c>
      <c r="E80" s="65"/>
      <c r="F80" s="65"/>
      <c r="G80" s="67" t="s">
        <v>116</v>
      </c>
      <c r="H80" s="115" t="str">
        <f>CONCATENATE("Number of indicators=",COUNTA(G81:G85))</f>
        <v>Number of indicators=5</v>
      </c>
      <c r="I80" s="315" t="s">
        <v>140</v>
      </c>
      <c r="J80" s="315"/>
      <c r="K80" s="149"/>
      <c r="L80" s="116"/>
      <c r="M80" s="66"/>
      <c r="N80" s="182"/>
      <c r="O80" s="166"/>
      <c r="P80" s="200"/>
    </row>
    <row r="81" spans="1:16" s="103" customFormat="1" ht="121.5" customHeight="1" outlineLevel="2" x14ac:dyDescent="0.2">
      <c r="A81" s="208">
        <v>1</v>
      </c>
      <c r="B81" s="236"/>
      <c r="C81" s="74">
        <v>3</v>
      </c>
      <c r="D81" s="74">
        <v>3.3</v>
      </c>
      <c r="E81" s="79" t="s">
        <v>130</v>
      </c>
      <c r="F81" s="74" t="s">
        <v>195</v>
      </c>
      <c r="G81" s="105" t="s">
        <v>12</v>
      </c>
      <c r="H81" s="81" t="s">
        <v>348</v>
      </c>
      <c r="I81" s="56" t="s">
        <v>133</v>
      </c>
      <c r="J81" s="56" t="s">
        <v>132</v>
      </c>
      <c r="K81" s="56"/>
      <c r="L81" s="82" t="s">
        <v>28</v>
      </c>
      <c r="M81" s="83" t="s">
        <v>6</v>
      </c>
      <c r="N81" s="177" t="s">
        <v>134</v>
      </c>
      <c r="O81" s="163"/>
      <c r="P81" s="194"/>
    </row>
    <row r="82" spans="1:16" s="103" customFormat="1" ht="105" customHeight="1" outlineLevel="2" x14ac:dyDescent="0.2">
      <c r="A82" s="208">
        <v>2</v>
      </c>
      <c r="B82" s="236"/>
      <c r="C82" s="74">
        <v>3</v>
      </c>
      <c r="D82" s="74">
        <v>3.3</v>
      </c>
      <c r="E82" s="129" t="s">
        <v>330</v>
      </c>
      <c r="F82" s="74" t="s">
        <v>196</v>
      </c>
      <c r="G82" s="108" t="s">
        <v>343</v>
      </c>
      <c r="H82" s="81" t="s">
        <v>349</v>
      </c>
      <c r="I82" s="56" t="s">
        <v>133</v>
      </c>
      <c r="J82" s="56" t="s">
        <v>132</v>
      </c>
      <c r="K82" s="56" t="s">
        <v>136</v>
      </c>
      <c r="L82" s="82" t="s">
        <v>28</v>
      </c>
      <c r="M82" s="83" t="s">
        <v>7</v>
      </c>
      <c r="N82" s="177" t="s">
        <v>134</v>
      </c>
      <c r="O82" s="163"/>
      <c r="P82" s="194"/>
    </row>
    <row r="83" spans="1:16" s="103" customFormat="1" ht="118.5" customHeight="1" outlineLevel="2" x14ac:dyDescent="0.2">
      <c r="A83" s="208">
        <v>3</v>
      </c>
      <c r="B83" s="236"/>
      <c r="C83" s="74">
        <v>3</v>
      </c>
      <c r="D83" s="74">
        <v>3.3</v>
      </c>
      <c r="E83" s="79" t="s">
        <v>130</v>
      </c>
      <c r="F83" s="74" t="s">
        <v>197</v>
      </c>
      <c r="G83" s="117" t="s">
        <v>351</v>
      </c>
      <c r="H83" s="102" t="s">
        <v>264</v>
      </c>
      <c r="I83" s="56" t="s">
        <v>133</v>
      </c>
      <c r="J83" s="56" t="s">
        <v>132</v>
      </c>
      <c r="K83" s="56"/>
      <c r="L83" s="82" t="s">
        <v>28</v>
      </c>
      <c r="M83" s="118" t="s">
        <v>255</v>
      </c>
      <c r="N83" s="177" t="s">
        <v>134</v>
      </c>
      <c r="O83" s="163"/>
      <c r="P83" s="194"/>
    </row>
    <row r="84" spans="1:16" s="121" customFormat="1" ht="202.5" customHeight="1" outlineLevel="2" x14ac:dyDescent="0.2">
      <c r="A84" s="208">
        <v>4</v>
      </c>
      <c r="B84" s="236"/>
      <c r="C84" s="74">
        <v>3</v>
      </c>
      <c r="D84" s="74">
        <v>3.3</v>
      </c>
      <c r="E84" s="79" t="s">
        <v>130</v>
      </c>
      <c r="F84" s="74" t="s">
        <v>198</v>
      </c>
      <c r="G84" s="119" t="s">
        <v>73</v>
      </c>
      <c r="H84" s="120" t="s">
        <v>296</v>
      </c>
      <c r="I84" s="56" t="s">
        <v>133</v>
      </c>
      <c r="J84" s="56"/>
      <c r="K84" s="56"/>
      <c r="L84" s="82" t="s">
        <v>28</v>
      </c>
      <c r="M84" s="118" t="s">
        <v>11</v>
      </c>
      <c r="N84" s="177" t="s">
        <v>134</v>
      </c>
      <c r="O84" s="163"/>
      <c r="P84" s="194"/>
    </row>
    <row r="85" spans="1:16" s="103" customFormat="1" ht="116.25" customHeight="1" outlineLevel="2" x14ac:dyDescent="0.2">
      <c r="A85" s="209">
        <v>5</v>
      </c>
      <c r="B85" s="236"/>
      <c r="C85" s="74">
        <v>3</v>
      </c>
      <c r="D85" s="74">
        <v>3.3</v>
      </c>
      <c r="E85" s="79" t="s">
        <v>130</v>
      </c>
      <c r="F85" s="74" t="s">
        <v>199</v>
      </c>
      <c r="G85" s="108" t="s">
        <v>40</v>
      </c>
      <c r="H85" s="102" t="s">
        <v>71</v>
      </c>
      <c r="I85" s="56" t="s">
        <v>133</v>
      </c>
      <c r="J85" s="260" t="s">
        <v>132</v>
      </c>
      <c r="K85" s="56"/>
      <c r="L85" s="82" t="s">
        <v>109</v>
      </c>
      <c r="M85" s="118" t="s">
        <v>39</v>
      </c>
      <c r="N85" s="177" t="s">
        <v>134</v>
      </c>
      <c r="O85" s="252"/>
      <c r="P85" s="194"/>
    </row>
    <row r="86" spans="1:16" s="70" customFormat="1" ht="42.6" customHeight="1" outlineLevel="1" x14ac:dyDescent="0.2">
      <c r="A86" s="208">
        <v>0</v>
      </c>
      <c r="B86" s="243"/>
      <c r="C86" s="29">
        <v>3</v>
      </c>
      <c r="D86" s="29">
        <v>3.4</v>
      </c>
      <c r="E86" s="29"/>
      <c r="F86" s="29"/>
      <c r="G86" s="69" t="s">
        <v>0</v>
      </c>
      <c r="H86" s="115" t="str">
        <f>CONCATENATE("Number of indicators=",COUNTA(G87:G89))</f>
        <v>Number of indicators=3</v>
      </c>
      <c r="I86" s="315" t="s">
        <v>140</v>
      </c>
      <c r="J86" s="315"/>
      <c r="K86" s="149"/>
      <c r="L86" s="72"/>
      <c r="M86" s="71"/>
      <c r="N86" s="184"/>
      <c r="O86" s="167"/>
      <c r="P86" s="202"/>
    </row>
    <row r="87" spans="1:16" s="122" customFormat="1" ht="74.25" customHeight="1" outlineLevel="2" x14ac:dyDescent="0.2">
      <c r="A87" s="208">
        <v>1</v>
      </c>
      <c r="B87" s="236"/>
      <c r="C87" s="74">
        <v>3</v>
      </c>
      <c r="D87" s="74">
        <v>3.4</v>
      </c>
      <c r="E87" s="129" t="s">
        <v>330</v>
      </c>
      <c r="F87" s="74" t="s">
        <v>200</v>
      </c>
      <c r="G87" s="185" t="s">
        <v>45</v>
      </c>
      <c r="H87" s="102" t="s">
        <v>266</v>
      </c>
      <c r="I87" s="56" t="s">
        <v>133</v>
      </c>
      <c r="J87" s="56" t="s">
        <v>132</v>
      </c>
      <c r="K87" s="56"/>
      <c r="L87" s="82" t="s">
        <v>28</v>
      </c>
      <c r="M87" s="78" t="s">
        <v>6</v>
      </c>
      <c r="N87" s="178" t="s">
        <v>134</v>
      </c>
      <c r="O87" s="164"/>
      <c r="P87" s="195"/>
    </row>
    <row r="88" spans="1:16" s="122" customFormat="1" ht="131.25" customHeight="1" outlineLevel="2" x14ac:dyDescent="0.2">
      <c r="A88" s="208">
        <v>2</v>
      </c>
      <c r="B88" s="236"/>
      <c r="C88" s="74">
        <v>3</v>
      </c>
      <c r="D88" s="74">
        <v>3.4</v>
      </c>
      <c r="E88" s="79" t="s">
        <v>130</v>
      </c>
      <c r="F88" s="74" t="s">
        <v>201</v>
      </c>
      <c r="G88" s="108" t="s">
        <v>344</v>
      </c>
      <c r="H88" s="81" t="s">
        <v>350</v>
      </c>
      <c r="I88" s="56" t="s">
        <v>133</v>
      </c>
      <c r="J88" s="56" t="s">
        <v>132</v>
      </c>
      <c r="K88" s="56" t="s">
        <v>136</v>
      </c>
      <c r="L88" s="82" t="s">
        <v>28</v>
      </c>
      <c r="M88" s="83" t="s">
        <v>7</v>
      </c>
      <c r="N88" s="178" t="s">
        <v>134</v>
      </c>
      <c r="O88" s="164"/>
      <c r="P88" s="195"/>
    </row>
    <row r="89" spans="1:16" s="122" customFormat="1" ht="191.25" outlineLevel="2" x14ac:dyDescent="0.2">
      <c r="A89" s="208">
        <v>3</v>
      </c>
      <c r="B89" s="236"/>
      <c r="C89" s="74">
        <v>3</v>
      </c>
      <c r="D89" s="74">
        <v>3.4</v>
      </c>
      <c r="E89" s="79" t="s">
        <v>130</v>
      </c>
      <c r="F89" s="74" t="s">
        <v>202</v>
      </c>
      <c r="G89" s="108" t="s">
        <v>46</v>
      </c>
      <c r="H89" s="102" t="s">
        <v>335</v>
      </c>
      <c r="I89" s="56" t="s">
        <v>133</v>
      </c>
      <c r="J89" s="56"/>
      <c r="K89" s="56"/>
      <c r="L89" s="82" t="s">
        <v>109</v>
      </c>
      <c r="M89" s="118" t="s">
        <v>39</v>
      </c>
      <c r="N89" s="178" t="s">
        <v>134</v>
      </c>
      <c r="O89" s="164"/>
      <c r="P89" s="195"/>
    </row>
    <row r="90" spans="1:16" s="3" customFormat="1" ht="42.6" customHeight="1" outlineLevel="1" x14ac:dyDescent="0.2">
      <c r="A90" s="208">
        <v>0</v>
      </c>
      <c r="B90" s="243"/>
      <c r="C90" s="29">
        <v>3</v>
      </c>
      <c r="D90" s="29">
        <v>3.5</v>
      </c>
      <c r="E90" s="65"/>
      <c r="F90" s="65"/>
      <c r="G90" s="287" t="s">
        <v>320</v>
      </c>
      <c r="H90" s="123" t="str">
        <f>CONCATENATE("Number of indicators=",COUNTA(G91:G94))</f>
        <v>Number of indicators=4</v>
      </c>
      <c r="I90" s="315" t="s">
        <v>140</v>
      </c>
      <c r="J90" s="315"/>
      <c r="K90" s="149"/>
      <c r="L90" s="116"/>
      <c r="M90" s="66"/>
      <c r="N90" s="182"/>
      <c r="O90" s="166"/>
      <c r="P90" s="200"/>
    </row>
    <row r="91" spans="1:16" s="103" customFormat="1" ht="132" customHeight="1" outlineLevel="2" x14ac:dyDescent="0.2">
      <c r="A91" s="209">
        <v>1</v>
      </c>
      <c r="B91" s="236"/>
      <c r="C91" s="74">
        <v>3</v>
      </c>
      <c r="D91" s="74">
        <v>3.5</v>
      </c>
      <c r="E91" s="79" t="s">
        <v>130</v>
      </c>
      <c r="F91" s="74" t="s">
        <v>203</v>
      </c>
      <c r="G91" s="268" t="s">
        <v>321</v>
      </c>
      <c r="H91" s="267" t="s">
        <v>354</v>
      </c>
      <c r="I91" s="56" t="s">
        <v>133</v>
      </c>
      <c r="J91" s="56" t="s">
        <v>132</v>
      </c>
      <c r="K91" s="56"/>
      <c r="L91" s="82" t="s">
        <v>28</v>
      </c>
      <c r="M91" s="83" t="s">
        <v>7</v>
      </c>
      <c r="N91" s="177" t="s">
        <v>134</v>
      </c>
      <c r="O91" s="252"/>
      <c r="P91" s="194"/>
    </row>
    <row r="92" spans="1:16" s="103" customFormat="1" ht="95.25" customHeight="1" outlineLevel="2" x14ac:dyDescent="0.2">
      <c r="A92" s="208">
        <v>2</v>
      </c>
      <c r="B92" s="236"/>
      <c r="C92" s="74">
        <v>3</v>
      </c>
      <c r="D92" s="74">
        <v>3.5</v>
      </c>
      <c r="E92" s="129" t="s">
        <v>330</v>
      </c>
      <c r="F92" s="74" t="s">
        <v>204</v>
      </c>
      <c r="G92" s="108" t="s">
        <v>44</v>
      </c>
      <c r="H92" s="102" t="s">
        <v>267</v>
      </c>
      <c r="I92" s="56" t="s">
        <v>133</v>
      </c>
      <c r="J92" s="56" t="s">
        <v>132</v>
      </c>
      <c r="K92" s="56" t="s">
        <v>136</v>
      </c>
      <c r="L92" s="82" t="s">
        <v>28</v>
      </c>
      <c r="M92" s="83" t="s">
        <v>6</v>
      </c>
      <c r="N92" s="177" t="s">
        <v>107</v>
      </c>
      <c r="O92" s="163"/>
      <c r="P92" s="194"/>
    </row>
    <row r="93" spans="1:16" s="103" customFormat="1" ht="147" customHeight="1" outlineLevel="2" x14ac:dyDescent="0.2">
      <c r="A93" s="208">
        <v>3</v>
      </c>
      <c r="B93" s="236"/>
      <c r="C93" s="74">
        <v>3</v>
      </c>
      <c r="D93" s="74">
        <v>3.5</v>
      </c>
      <c r="E93" s="79" t="s">
        <v>130</v>
      </c>
      <c r="F93" s="74" t="s">
        <v>205</v>
      </c>
      <c r="G93" s="183" t="s">
        <v>43</v>
      </c>
      <c r="H93" s="124" t="s">
        <v>268</v>
      </c>
      <c r="I93" s="56" t="s">
        <v>133</v>
      </c>
      <c r="J93" s="56" t="s">
        <v>132</v>
      </c>
      <c r="K93" s="56"/>
      <c r="L93" s="154" t="s">
        <v>75</v>
      </c>
      <c r="M93" s="83" t="s">
        <v>7</v>
      </c>
      <c r="N93" s="177" t="s">
        <v>134</v>
      </c>
      <c r="O93" s="163"/>
      <c r="P93" s="194"/>
    </row>
    <row r="94" spans="1:16" s="103" customFormat="1" ht="153" outlineLevel="2" x14ac:dyDescent="0.2">
      <c r="A94" s="208">
        <v>4</v>
      </c>
      <c r="B94" s="236"/>
      <c r="C94" s="74">
        <v>3</v>
      </c>
      <c r="D94" s="74">
        <v>3.5</v>
      </c>
      <c r="E94" s="79" t="s">
        <v>130</v>
      </c>
      <c r="F94" s="74" t="s">
        <v>206</v>
      </c>
      <c r="G94" s="108" t="s">
        <v>41</v>
      </c>
      <c r="H94" s="102" t="s">
        <v>298</v>
      </c>
      <c r="I94" s="56" t="s">
        <v>133</v>
      </c>
      <c r="J94" s="56"/>
      <c r="K94" s="56"/>
      <c r="L94" s="82" t="s">
        <v>109</v>
      </c>
      <c r="M94" s="118" t="s">
        <v>39</v>
      </c>
      <c r="N94" s="177" t="s">
        <v>134</v>
      </c>
      <c r="O94" s="163"/>
      <c r="P94" s="194"/>
    </row>
    <row r="95" spans="1:16" s="70" customFormat="1" ht="42.6" customHeight="1" outlineLevel="1" x14ac:dyDescent="0.2">
      <c r="A95" s="208">
        <v>0</v>
      </c>
      <c r="B95" s="243"/>
      <c r="C95" s="29">
        <v>3</v>
      </c>
      <c r="D95" s="29">
        <v>3.6</v>
      </c>
      <c r="E95" s="65"/>
      <c r="F95" s="65"/>
      <c r="G95" s="67" t="s">
        <v>4</v>
      </c>
      <c r="H95" s="115" t="str">
        <f>CONCATENATE("Number of indicators=",COUNTA(G96:G98))</f>
        <v>Number of indicators=3</v>
      </c>
      <c r="I95" s="315" t="s">
        <v>140</v>
      </c>
      <c r="J95" s="315"/>
      <c r="K95" s="149"/>
      <c r="L95" s="116"/>
      <c r="M95" s="66"/>
      <c r="N95" s="182"/>
      <c r="O95" s="166"/>
      <c r="P95" s="200"/>
    </row>
    <row r="96" spans="1:16" s="122" customFormat="1" ht="190.5" customHeight="1" outlineLevel="2" x14ac:dyDescent="0.2">
      <c r="A96" s="208">
        <v>1</v>
      </c>
      <c r="B96" s="236"/>
      <c r="C96" s="74">
        <v>3</v>
      </c>
      <c r="D96" s="74">
        <v>3.6</v>
      </c>
      <c r="E96" s="129" t="s">
        <v>330</v>
      </c>
      <c r="F96" s="74" t="s">
        <v>207</v>
      </c>
      <c r="G96" s="108" t="s">
        <v>117</v>
      </c>
      <c r="H96" s="102" t="s">
        <v>269</v>
      </c>
      <c r="I96" s="56" t="s">
        <v>133</v>
      </c>
      <c r="J96" s="56" t="s">
        <v>132</v>
      </c>
      <c r="K96" s="56" t="s">
        <v>136</v>
      </c>
      <c r="L96" s="82" t="s">
        <v>28</v>
      </c>
      <c r="M96" s="83" t="s">
        <v>7</v>
      </c>
      <c r="N96" s="177" t="s">
        <v>134</v>
      </c>
      <c r="O96" s="163"/>
      <c r="P96" s="194"/>
    </row>
    <row r="97" spans="1:16" s="125" customFormat="1" ht="60" customHeight="1" outlineLevel="2" x14ac:dyDescent="0.2">
      <c r="A97" s="208">
        <v>2</v>
      </c>
      <c r="B97" s="236"/>
      <c r="C97" s="74">
        <v>3</v>
      </c>
      <c r="D97" s="74">
        <v>3.6</v>
      </c>
      <c r="E97" s="79" t="s">
        <v>130</v>
      </c>
      <c r="F97" s="74" t="s">
        <v>208</v>
      </c>
      <c r="G97" s="108" t="s">
        <v>32</v>
      </c>
      <c r="H97" s="102" t="s">
        <v>270</v>
      </c>
      <c r="I97" s="56" t="s">
        <v>133</v>
      </c>
      <c r="J97" s="56" t="s">
        <v>132</v>
      </c>
      <c r="K97" s="56"/>
      <c r="L97" s="82" t="s">
        <v>109</v>
      </c>
      <c r="M97" s="83" t="s">
        <v>6</v>
      </c>
      <c r="N97" s="177" t="s">
        <v>134</v>
      </c>
      <c r="O97" s="163"/>
      <c r="P97" s="194"/>
    </row>
    <row r="98" spans="1:16" s="125" customFormat="1" ht="159" customHeight="1" outlineLevel="2" x14ac:dyDescent="0.2">
      <c r="A98" s="209">
        <v>3</v>
      </c>
      <c r="B98" s="236"/>
      <c r="C98" s="74">
        <v>3</v>
      </c>
      <c r="D98" s="74">
        <v>3.6</v>
      </c>
      <c r="E98" s="79" t="s">
        <v>130</v>
      </c>
      <c r="F98" s="74" t="s">
        <v>209</v>
      </c>
      <c r="G98" s="108" t="s">
        <v>42</v>
      </c>
      <c r="H98" s="102" t="s">
        <v>299</v>
      </c>
      <c r="I98" s="56" t="s">
        <v>133</v>
      </c>
      <c r="J98" s="260" t="s">
        <v>132</v>
      </c>
      <c r="K98" s="56"/>
      <c r="L98" s="82" t="s">
        <v>109</v>
      </c>
      <c r="M98" s="118" t="s">
        <v>39</v>
      </c>
      <c r="N98" s="282" t="s">
        <v>134</v>
      </c>
      <c r="O98" s="283"/>
      <c r="P98" s="286"/>
    </row>
    <row r="99" spans="1:16" s="3" customFormat="1" ht="42.6" customHeight="1" x14ac:dyDescent="0.2">
      <c r="A99" s="208">
        <v>0</v>
      </c>
      <c r="B99" s="244"/>
      <c r="C99" s="40">
        <v>4</v>
      </c>
      <c r="D99" s="30"/>
      <c r="E99" s="23"/>
      <c r="F99" s="23"/>
      <c r="G99" s="41" t="s">
        <v>23</v>
      </c>
      <c r="H99" s="10"/>
      <c r="I99" s="62"/>
      <c r="J99" s="62"/>
      <c r="K99" s="62"/>
      <c r="L99" s="54"/>
      <c r="M99" s="62"/>
      <c r="N99" s="186"/>
      <c r="O99" s="161"/>
      <c r="P99" s="203"/>
    </row>
    <row r="100" spans="1:16" s="3" customFormat="1" ht="42.6" customHeight="1" outlineLevel="1" x14ac:dyDescent="0.2">
      <c r="A100" s="208">
        <v>0</v>
      </c>
      <c r="B100" s="245"/>
      <c r="C100" s="32">
        <v>4</v>
      </c>
      <c r="D100" s="228">
        <v>4.0999999999999996</v>
      </c>
      <c r="E100" s="44"/>
      <c r="F100" s="44"/>
      <c r="G100" s="13" t="s">
        <v>25</v>
      </c>
      <c r="H100" s="126" t="str">
        <f>CONCATENATE("Number of indicators=",COUNTA(G101:G103))</f>
        <v>Number of indicators=3</v>
      </c>
      <c r="I100" s="313" t="s">
        <v>140</v>
      </c>
      <c r="J100" s="313"/>
      <c r="K100" s="150"/>
      <c r="L100" s="55"/>
      <c r="M100" s="63"/>
      <c r="N100" s="187"/>
      <c r="O100" s="162"/>
      <c r="P100" s="204"/>
    </row>
    <row r="101" spans="1:16" s="130" customFormat="1" ht="160.5" customHeight="1" outlineLevel="2" x14ac:dyDescent="0.2">
      <c r="A101" s="208">
        <v>1</v>
      </c>
      <c r="B101" s="246"/>
      <c r="C101" s="46">
        <v>4</v>
      </c>
      <c r="D101" s="134">
        <v>4.0999999999999996</v>
      </c>
      <c r="E101" s="129" t="s">
        <v>330</v>
      </c>
      <c r="F101" s="46" t="s">
        <v>210</v>
      </c>
      <c r="G101" s="25" t="s">
        <v>31</v>
      </c>
      <c r="H101" s="45" t="s">
        <v>280</v>
      </c>
      <c r="I101" s="56" t="s">
        <v>133</v>
      </c>
      <c r="J101" s="56" t="s">
        <v>132</v>
      </c>
      <c r="K101" s="56" t="s">
        <v>136</v>
      </c>
      <c r="L101" s="82" t="s">
        <v>28</v>
      </c>
      <c r="M101" s="64" t="s">
        <v>7</v>
      </c>
      <c r="N101" s="188" t="s">
        <v>134</v>
      </c>
      <c r="O101" s="168"/>
      <c r="P101" s="205"/>
    </row>
    <row r="102" spans="1:16" s="103" customFormat="1" ht="103.5" customHeight="1" outlineLevel="2" x14ac:dyDescent="0.2">
      <c r="A102" s="209">
        <v>2</v>
      </c>
      <c r="B102" s="236"/>
      <c r="C102" s="74">
        <v>4</v>
      </c>
      <c r="D102" s="288" t="s">
        <v>68</v>
      </c>
      <c r="E102" s="79" t="s">
        <v>130</v>
      </c>
      <c r="F102" s="46" t="s">
        <v>211</v>
      </c>
      <c r="G102" s="25" t="s">
        <v>17</v>
      </c>
      <c r="H102" s="272" t="s">
        <v>300</v>
      </c>
      <c r="I102" s="56" t="s">
        <v>133</v>
      </c>
      <c r="J102" s="56" t="s">
        <v>132</v>
      </c>
      <c r="K102" s="56"/>
      <c r="L102" s="82" t="s">
        <v>28</v>
      </c>
      <c r="M102" s="290" t="s">
        <v>7</v>
      </c>
      <c r="N102" s="188" t="s">
        <v>134</v>
      </c>
      <c r="O102" s="291"/>
      <c r="P102" s="205"/>
    </row>
    <row r="103" spans="1:16" s="103" customFormat="1" ht="82.5" customHeight="1" outlineLevel="2" x14ac:dyDescent="0.2">
      <c r="A103" s="209">
        <v>3</v>
      </c>
      <c r="B103" s="236"/>
      <c r="C103" s="74">
        <v>4</v>
      </c>
      <c r="D103" s="288" t="s">
        <v>68</v>
      </c>
      <c r="E103" s="79" t="s">
        <v>130</v>
      </c>
      <c r="F103" s="46" t="s">
        <v>212</v>
      </c>
      <c r="G103" s="25" t="s">
        <v>99</v>
      </c>
      <c r="H103" s="272" t="s">
        <v>256</v>
      </c>
      <c r="I103" s="56" t="s">
        <v>133</v>
      </c>
      <c r="J103" s="56" t="s">
        <v>132</v>
      </c>
      <c r="K103" s="56"/>
      <c r="L103" s="82" t="s">
        <v>28</v>
      </c>
      <c r="M103" s="290" t="s">
        <v>7</v>
      </c>
      <c r="N103" s="188" t="s">
        <v>134</v>
      </c>
      <c r="O103" s="291"/>
      <c r="P103" s="205"/>
    </row>
    <row r="104" spans="1:16" s="3" customFormat="1" ht="42.6" customHeight="1" outlineLevel="1" x14ac:dyDescent="0.2">
      <c r="A104" s="208">
        <v>0</v>
      </c>
      <c r="B104" s="247"/>
      <c r="C104" s="31">
        <v>4</v>
      </c>
      <c r="D104" s="32">
        <v>4.2</v>
      </c>
      <c r="E104" s="24"/>
      <c r="F104" s="24"/>
      <c r="G104" s="13" t="s">
        <v>67</v>
      </c>
      <c r="H104" s="126" t="str">
        <f>CONCATENATE("Number of indicators=",COUNTA(G105:G106))</f>
        <v>Number of indicators=2</v>
      </c>
      <c r="I104" s="313" t="s">
        <v>140</v>
      </c>
      <c r="J104" s="313"/>
      <c r="K104" s="150"/>
      <c r="L104" s="63"/>
      <c r="M104" s="63"/>
      <c r="N104" s="187"/>
      <c r="O104" s="162"/>
      <c r="P104" s="204"/>
    </row>
    <row r="105" spans="1:16" s="297" customFormat="1" ht="153" outlineLevel="2" x14ac:dyDescent="0.2">
      <c r="A105" s="209">
        <v>1</v>
      </c>
      <c r="B105" s="246"/>
      <c r="C105" s="46">
        <v>4</v>
      </c>
      <c r="D105" s="46">
        <v>4.2</v>
      </c>
      <c r="E105" s="79" t="s">
        <v>130</v>
      </c>
      <c r="F105" s="46" t="s">
        <v>213</v>
      </c>
      <c r="G105" s="25" t="s">
        <v>72</v>
      </c>
      <c r="H105" s="45" t="s">
        <v>257</v>
      </c>
      <c r="I105" s="56" t="s">
        <v>133</v>
      </c>
      <c r="J105" s="260" t="s">
        <v>132</v>
      </c>
      <c r="K105" s="56"/>
      <c r="L105" s="292" t="s">
        <v>332</v>
      </c>
      <c r="M105" s="293" t="s">
        <v>33</v>
      </c>
      <c r="N105" s="294" t="s">
        <v>134</v>
      </c>
      <c r="O105" s="295"/>
      <c r="P105" s="296"/>
    </row>
    <row r="106" spans="1:16" s="130" customFormat="1" ht="178.5" outlineLevel="3" x14ac:dyDescent="0.2">
      <c r="A106" s="209">
        <v>2</v>
      </c>
      <c r="B106" s="246"/>
      <c r="C106" s="46">
        <v>4</v>
      </c>
      <c r="D106" s="46">
        <v>4.2</v>
      </c>
      <c r="E106" s="79" t="s">
        <v>130</v>
      </c>
      <c r="F106" s="46" t="s">
        <v>214</v>
      </c>
      <c r="G106" s="25" t="s">
        <v>100</v>
      </c>
      <c r="H106" s="289" t="s">
        <v>265</v>
      </c>
      <c r="I106" s="56" t="s">
        <v>133</v>
      </c>
      <c r="J106" s="260" t="s">
        <v>132</v>
      </c>
      <c r="K106" s="128"/>
      <c r="L106" s="292" t="s">
        <v>332</v>
      </c>
      <c r="M106" s="298" t="s">
        <v>33</v>
      </c>
      <c r="N106" s="294" t="s">
        <v>134</v>
      </c>
      <c r="O106" s="295"/>
      <c r="P106" s="296"/>
    </row>
    <row r="107" spans="1:16" s="3" customFormat="1" ht="42.6" customHeight="1" outlineLevel="1" x14ac:dyDescent="0.2">
      <c r="A107" s="208">
        <v>0</v>
      </c>
      <c r="B107" s="245"/>
      <c r="C107" s="32">
        <v>4</v>
      </c>
      <c r="D107" s="32">
        <v>4.3</v>
      </c>
      <c r="E107" s="44"/>
      <c r="F107" s="44"/>
      <c r="G107" s="13" t="s">
        <v>47</v>
      </c>
      <c r="H107" s="126" t="str">
        <f>CONCATENATE("Number of indicators=",COUNTA(G108:G110))</f>
        <v>Number of indicators=3</v>
      </c>
      <c r="I107" s="313" t="s">
        <v>140</v>
      </c>
      <c r="J107" s="313"/>
      <c r="K107" s="150"/>
      <c r="L107" s="55"/>
      <c r="M107" s="63"/>
      <c r="N107" s="187"/>
      <c r="O107" s="162"/>
      <c r="P107" s="204"/>
    </row>
    <row r="108" spans="1:16" s="103" customFormat="1" ht="115.5" customHeight="1" outlineLevel="2" x14ac:dyDescent="0.2">
      <c r="A108" s="208">
        <v>1</v>
      </c>
      <c r="B108" s="236"/>
      <c r="C108" s="74">
        <v>4</v>
      </c>
      <c r="D108" s="74">
        <v>4.3</v>
      </c>
      <c r="E108" s="129" t="s">
        <v>330</v>
      </c>
      <c r="F108" s="74" t="s">
        <v>215</v>
      </c>
      <c r="G108" s="127" t="s">
        <v>26</v>
      </c>
      <c r="H108" s="102" t="s">
        <v>258</v>
      </c>
      <c r="I108" s="56" t="s">
        <v>133</v>
      </c>
      <c r="J108" s="56" t="s">
        <v>132</v>
      </c>
      <c r="K108" s="56" t="s">
        <v>136</v>
      </c>
      <c r="L108" s="82" t="s">
        <v>28</v>
      </c>
      <c r="M108" s="83" t="s">
        <v>7</v>
      </c>
      <c r="N108" s="177" t="s">
        <v>107</v>
      </c>
      <c r="O108" s="163"/>
      <c r="P108" s="194"/>
    </row>
    <row r="109" spans="1:16" s="103" customFormat="1" ht="87.75" customHeight="1" outlineLevel="2" x14ac:dyDescent="0.2">
      <c r="A109" s="208">
        <v>2</v>
      </c>
      <c r="B109" s="236"/>
      <c r="C109" s="74">
        <v>4</v>
      </c>
      <c r="D109" s="74">
        <v>4.3</v>
      </c>
      <c r="E109" s="79" t="s">
        <v>130</v>
      </c>
      <c r="F109" s="74" t="s">
        <v>216</v>
      </c>
      <c r="G109" s="127" t="s">
        <v>35</v>
      </c>
      <c r="H109" s="45" t="s">
        <v>259</v>
      </c>
      <c r="I109" s="56" t="s">
        <v>133</v>
      </c>
      <c r="J109" s="56" t="s">
        <v>132</v>
      </c>
      <c r="K109" s="56"/>
      <c r="L109" s="82" t="s">
        <v>28</v>
      </c>
      <c r="M109" s="64" t="s">
        <v>6</v>
      </c>
      <c r="N109" s="177" t="s">
        <v>107</v>
      </c>
      <c r="O109" s="163"/>
      <c r="P109" s="194"/>
    </row>
    <row r="110" spans="1:16" s="103" customFormat="1" ht="154.5" customHeight="1" outlineLevel="2" x14ac:dyDescent="0.2">
      <c r="A110" s="208">
        <v>3</v>
      </c>
      <c r="B110" s="236"/>
      <c r="C110" s="74">
        <v>4</v>
      </c>
      <c r="D110" s="74">
        <v>4.3</v>
      </c>
      <c r="E110" s="79" t="s">
        <v>130</v>
      </c>
      <c r="F110" s="74" t="s">
        <v>217</v>
      </c>
      <c r="G110" s="127" t="s">
        <v>27</v>
      </c>
      <c r="H110" s="45" t="s">
        <v>281</v>
      </c>
      <c r="I110" s="56" t="s">
        <v>133</v>
      </c>
      <c r="J110" s="56"/>
      <c r="K110" s="56"/>
      <c r="L110" s="82" t="s">
        <v>109</v>
      </c>
      <c r="M110" s="64" t="s">
        <v>11</v>
      </c>
      <c r="N110" s="177" t="s">
        <v>107</v>
      </c>
      <c r="O110" s="163"/>
      <c r="P110" s="194"/>
    </row>
    <row r="111" spans="1:16" s="3" customFormat="1" ht="42.6" customHeight="1" outlineLevel="1" x14ac:dyDescent="0.2">
      <c r="A111" s="208">
        <v>0</v>
      </c>
      <c r="B111" s="247"/>
      <c r="C111" s="31">
        <v>4</v>
      </c>
      <c r="D111" s="32">
        <v>4.4000000000000004</v>
      </c>
      <c r="E111" s="24"/>
      <c r="F111" s="24"/>
      <c r="G111" s="13" t="s">
        <v>103</v>
      </c>
      <c r="H111" s="126" t="str">
        <f>CONCATENATE("Number of indicators=",COUNTA(G112:G115))</f>
        <v>Number of indicators=4</v>
      </c>
      <c r="I111" s="313" t="s">
        <v>140</v>
      </c>
      <c r="J111" s="313"/>
      <c r="K111" s="150"/>
      <c r="L111" s="55"/>
      <c r="M111" s="63"/>
      <c r="N111" s="187"/>
      <c r="O111" s="162"/>
      <c r="P111" s="204"/>
    </row>
    <row r="112" spans="1:16" s="103" customFormat="1" ht="133.5" customHeight="1" outlineLevel="2" x14ac:dyDescent="0.2">
      <c r="A112" s="208">
        <v>1</v>
      </c>
      <c r="B112" s="236"/>
      <c r="C112" s="74">
        <v>4</v>
      </c>
      <c r="D112" s="74">
        <v>4.4000000000000004</v>
      </c>
      <c r="E112" s="129" t="s">
        <v>330</v>
      </c>
      <c r="F112" s="74" t="s">
        <v>218</v>
      </c>
      <c r="G112" s="127" t="s">
        <v>59</v>
      </c>
      <c r="H112" s="102" t="s">
        <v>260</v>
      </c>
      <c r="I112" s="56" t="s">
        <v>133</v>
      </c>
      <c r="J112" s="56" t="s">
        <v>132</v>
      </c>
      <c r="K112" s="56" t="s">
        <v>136</v>
      </c>
      <c r="L112" s="82" t="s">
        <v>28</v>
      </c>
      <c r="M112" s="83" t="s">
        <v>7</v>
      </c>
      <c r="N112" s="177" t="s">
        <v>118</v>
      </c>
      <c r="O112" s="163"/>
      <c r="P112" s="194"/>
    </row>
    <row r="113" spans="1:16" s="103" customFormat="1" ht="55.5" customHeight="1" outlineLevel="2" x14ac:dyDescent="0.2">
      <c r="A113" s="208">
        <v>2</v>
      </c>
      <c r="B113" s="236"/>
      <c r="C113" s="74">
        <v>4</v>
      </c>
      <c r="D113" s="74">
        <v>4.4000000000000004</v>
      </c>
      <c r="E113" s="79" t="s">
        <v>130</v>
      </c>
      <c r="F113" s="74" t="s">
        <v>219</v>
      </c>
      <c r="G113" s="25" t="s">
        <v>19</v>
      </c>
      <c r="H113" s="102" t="s">
        <v>261</v>
      </c>
      <c r="I113" s="56" t="s">
        <v>133</v>
      </c>
      <c r="J113" s="56" t="s">
        <v>132</v>
      </c>
      <c r="K113" s="56"/>
      <c r="L113" s="82" t="s">
        <v>28</v>
      </c>
      <c r="M113" s="83" t="s">
        <v>7</v>
      </c>
      <c r="N113" s="177" t="s">
        <v>134</v>
      </c>
      <c r="O113" s="163"/>
      <c r="P113" s="194"/>
    </row>
    <row r="114" spans="1:16" s="103" customFormat="1" ht="197.25" customHeight="1" outlineLevel="2" x14ac:dyDescent="0.2">
      <c r="A114" s="209">
        <v>4</v>
      </c>
      <c r="B114" s="236"/>
      <c r="C114" s="74">
        <v>4</v>
      </c>
      <c r="D114" s="74">
        <v>4.4000000000000004</v>
      </c>
      <c r="E114" s="79" t="s">
        <v>130</v>
      </c>
      <c r="F114" s="74" t="s">
        <v>220</v>
      </c>
      <c r="G114" s="127" t="s">
        <v>57</v>
      </c>
      <c r="H114" s="45" t="s">
        <v>34</v>
      </c>
      <c r="I114" s="56" t="s">
        <v>133</v>
      </c>
      <c r="J114" s="260" t="s">
        <v>132</v>
      </c>
      <c r="K114" s="128"/>
      <c r="L114" s="292" t="s">
        <v>332</v>
      </c>
      <c r="M114" s="64" t="s">
        <v>33</v>
      </c>
      <c r="N114" s="188" t="s">
        <v>134</v>
      </c>
      <c r="O114" s="291"/>
      <c r="P114" s="205"/>
    </row>
    <row r="115" spans="1:16" s="103" customFormat="1" ht="87" customHeight="1" outlineLevel="2" thickBot="1" x14ac:dyDescent="0.25">
      <c r="A115" s="299">
        <v>5</v>
      </c>
      <c r="B115" s="300"/>
      <c r="C115" s="301">
        <v>4</v>
      </c>
      <c r="D115" s="301">
        <v>4.4000000000000004</v>
      </c>
      <c r="E115" s="302" t="s">
        <v>130</v>
      </c>
      <c r="F115" s="301" t="s">
        <v>221</v>
      </c>
      <c r="G115" s="303" t="s">
        <v>58</v>
      </c>
      <c r="H115" s="304" t="s">
        <v>271</v>
      </c>
      <c r="I115" s="305" t="s">
        <v>133</v>
      </c>
      <c r="J115" s="277" t="s">
        <v>132</v>
      </c>
      <c r="K115" s="306"/>
      <c r="L115" s="306" t="s">
        <v>333</v>
      </c>
      <c r="M115" s="307" t="s">
        <v>18</v>
      </c>
      <c r="N115" s="308" t="s">
        <v>134</v>
      </c>
      <c r="O115" s="252"/>
      <c r="P115" s="309"/>
    </row>
    <row r="116" spans="1:16" s="103" customFormat="1" ht="12.75" outlineLevel="2" x14ac:dyDescent="0.2">
      <c r="A116" s="223"/>
      <c r="B116" s="131"/>
      <c r="C116" s="131"/>
      <c r="D116" s="131"/>
      <c r="E116" s="248"/>
      <c r="F116" s="131"/>
      <c r="G116" s="249"/>
      <c r="H116" s="250"/>
      <c r="I116" s="251"/>
      <c r="J116" s="251"/>
      <c r="K116" s="251"/>
      <c r="L116" s="251"/>
      <c r="M116" s="252"/>
      <c r="N116" s="252"/>
      <c r="O116" s="163"/>
      <c r="P116" s="252"/>
    </row>
    <row r="117" spans="1:16" s="5" customFormat="1" ht="26.85" customHeight="1" outlineLevel="1" x14ac:dyDescent="0.2">
      <c r="A117" s="226"/>
      <c r="B117" s="318" t="s">
        <v>301</v>
      </c>
      <c r="C117" s="318"/>
      <c r="D117" s="318"/>
      <c r="E117" s="318"/>
      <c r="F117" s="318"/>
      <c r="G117" s="318"/>
      <c r="H117" s="318"/>
      <c r="I117" s="318"/>
      <c r="J117" s="318"/>
      <c r="K117" s="231" t="s">
        <v>136</v>
      </c>
      <c r="L117" s="230"/>
      <c r="M117" s="230"/>
      <c r="N117" s="230"/>
      <c r="O117" s="230"/>
      <c r="P117" s="230"/>
    </row>
    <row r="118" spans="1:16" ht="33.75" customHeight="1" x14ac:dyDescent="0.2">
      <c r="B118" s="319" t="s">
        <v>310</v>
      </c>
      <c r="C118" s="319"/>
      <c r="D118" s="319"/>
      <c r="E118" s="319"/>
      <c r="F118" s="319"/>
      <c r="G118" s="319"/>
      <c r="H118" s="319"/>
      <c r="I118" s="319"/>
      <c r="J118" s="319"/>
      <c r="K118" s="231" t="s">
        <v>136</v>
      </c>
      <c r="L118" s="229"/>
      <c r="M118" s="229"/>
      <c r="N118" s="229"/>
      <c r="O118" s="229"/>
      <c r="P118" s="229"/>
    </row>
    <row r="119" spans="1:16" ht="26.85" customHeight="1" x14ac:dyDescent="0.2">
      <c r="A119" s="227"/>
      <c r="B119" s="319" t="s">
        <v>85</v>
      </c>
      <c r="C119" s="319"/>
      <c r="D119" s="319"/>
      <c r="E119" s="319"/>
      <c r="F119" s="319"/>
      <c r="G119" s="319"/>
      <c r="H119" s="319"/>
      <c r="I119" s="319"/>
      <c r="J119" s="319"/>
      <c r="K119" s="231" t="s">
        <v>136</v>
      </c>
      <c r="L119" s="229"/>
      <c r="M119" s="229"/>
      <c r="N119" s="229"/>
      <c r="O119" s="229"/>
      <c r="P119" s="229"/>
    </row>
    <row r="120" spans="1:16" ht="26.85" customHeight="1" x14ac:dyDescent="0.2">
      <c r="A120" s="227"/>
      <c r="B120" s="319" t="s">
        <v>137</v>
      </c>
      <c r="C120" s="319"/>
      <c r="D120" s="319"/>
      <c r="E120" s="319"/>
      <c r="F120" s="319"/>
      <c r="G120" s="319"/>
      <c r="H120" s="319"/>
      <c r="I120" s="319"/>
      <c r="J120" s="319"/>
      <c r="K120" s="231" t="s">
        <v>136</v>
      </c>
      <c r="L120" s="229"/>
      <c r="M120" s="229"/>
      <c r="N120" s="229"/>
      <c r="O120" s="229"/>
      <c r="P120" s="229"/>
    </row>
    <row r="121" spans="1:16" ht="24" customHeight="1" x14ac:dyDescent="0.2">
      <c r="A121" s="227"/>
      <c r="B121" s="319" t="s">
        <v>307</v>
      </c>
      <c r="C121" s="319"/>
      <c r="D121" s="319"/>
      <c r="E121" s="319"/>
      <c r="F121" s="319"/>
      <c r="G121" s="319"/>
      <c r="H121" s="319"/>
      <c r="I121" s="319"/>
      <c r="J121" s="319"/>
      <c r="K121" s="231" t="s">
        <v>136</v>
      </c>
      <c r="L121" s="229"/>
      <c r="M121" s="229"/>
      <c r="N121" s="229"/>
      <c r="O121" s="229"/>
      <c r="P121" s="229"/>
    </row>
    <row r="122" spans="1:16" ht="24" customHeight="1" x14ac:dyDescent="0.2">
      <c r="A122" s="227"/>
      <c r="B122" s="319" t="s">
        <v>334</v>
      </c>
      <c r="C122" s="319"/>
      <c r="D122" s="319"/>
      <c r="E122" s="319"/>
      <c r="F122" s="319"/>
      <c r="G122" s="319"/>
      <c r="H122" s="319"/>
      <c r="I122" s="319"/>
      <c r="J122" s="319"/>
      <c r="K122" s="231" t="s">
        <v>136</v>
      </c>
      <c r="L122" s="229"/>
      <c r="M122" s="229"/>
      <c r="N122" s="229"/>
      <c r="O122" s="229"/>
      <c r="P122" s="229"/>
    </row>
    <row r="123" spans="1:16" ht="26.85" hidden="1" customHeight="1" x14ac:dyDescent="0.2">
      <c r="A123" s="222"/>
      <c r="B123" s="153"/>
      <c r="C123" s="153"/>
      <c r="D123" s="153"/>
      <c r="E123" s="153"/>
      <c r="F123" s="153"/>
      <c r="G123" s="153"/>
      <c r="H123" s="153"/>
      <c r="I123" s="153"/>
      <c r="J123" s="153"/>
      <c r="K123" s="153"/>
      <c r="L123" s="153"/>
      <c r="M123" s="153"/>
      <c r="N123" s="153"/>
      <c r="O123" s="153"/>
      <c r="P123" s="153"/>
    </row>
    <row r="124" spans="1:16" ht="26.85" hidden="1" customHeight="1" x14ac:dyDescent="0.2"/>
    <row r="125" spans="1:16" ht="26.85" hidden="1" customHeight="1" x14ac:dyDescent="0.2"/>
    <row r="126" spans="1:16" ht="26.85" hidden="1" customHeight="1" x14ac:dyDescent="0.2"/>
    <row r="127" spans="1:16" ht="26.85" hidden="1" customHeight="1" x14ac:dyDescent="0.2"/>
    <row r="128" spans="1:16" ht="26.85" hidden="1" customHeight="1" x14ac:dyDescent="0.2"/>
    <row r="129" ht="26.85" hidden="1" customHeight="1" x14ac:dyDescent="0.2"/>
    <row r="130" ht="26.85" hidden="1" customHeight="1" x14ac:dyDescent="0.2"/>
    <row r="131" ht="26.85" hidden="1" customHeight="1" x14ac:dyDescent="0.2"/>
    <row r="132" ht="26.85" hidden="1" customHeight="1" x14ac:dyDescent="0.2"/>
    <row r="133" ht="26.85" hidden="1" customHeight="1" x14ac:dyDescent="0.2"/>
    <row r="134" ht="26.85" hidden="1" customHeight="1" x14ac:dyDescent="0.2"/>
    <row r="135" ht="26.85" hidden="1" customHeight="1" x14ac:dyDescent="0.2"/>
    <row r="136" ht="26.85" hidden="1" customHeight="1" x14ac:dyDescent="0.2"/>
    <row r="137" ht="26.85" hidden="1" customHeight="1" x14ac:dyDescent="0.2"/>
    <row r="138" ht="26.85" hidden="1" customHeight="1" x14ac:dyDescent="0.2"/>
  </sheetData>
  <sheetProtection formatCells="0" formatColumns="0" formatRows="0" insertColumns="0" insertRows="0"/>
  <protectedRanges>
    <protectedRange algorithmName="SHA-512" hashValue="X8Mn/BENdgCW6PegivT4/mMRKutRwdowzityfe5sPQU7BBQsBjJhibHGC6FKfDIL4Lb1x6jx1h1SAjBe6KEN2g==" saltValue="No2v5EghHozG9B/EmEWlPg==" spinCount="100000" sqref="G61:H63 E5 M122:O1048576 M112:M113 M66:M68 G43:H45 H81:H85 M96:M97 M91:M93 G108:H110 M19:M32 H91:H94 H112:H113 G25:H32 G5:H5 G123:H1048576 M72:M74 M108:M110 H66:H68 M87:M88 H76:H79 M76:M77 M81:M82 H87:H89 M115:M116 H96:H98 H53:H54 M53:M56 M38:M40 L5:O5 H72:H74 M51 M117:O118 H64 M9:M15 M61:M64 G19:H21 H22:H24 G38:H40 H51 H115:H116 G9:H15 G48:H48 M43:M45 H59" name="Range1_2_1"/>
    <protectedRange algorithmName="SHA-512" hashValue="X8Mn/BENdgCW6PegivT4/mMRKutRwdowzityfe5sPQU7BBQsBjJhibHGC6FKfDIL4Lb1x6jx1h1SAjBe6KEN2g==" saltValue="No2v5EghHozG9B/EmEWlPg==" spinCount="100000" sqref="N9:O15" name="Range1_2_1_1"/>
    <protectedRange algorithmName="SHA-512" hashValue="X8Mn/BENdgCW6PegivT4/mMRKutRwdowzityfe5sPQU7BBQsBjJhibHGC6FKfDIL4Lb1x6jx1h1SAjBe6KEN2g==" saltValue="No2v5EghHozG9B/EmEWlPg==" spinCount="100000" sqref="N19:O32" name="Range1_2_1_2"/>
    <protectedRange algorithmName="SHA-512" hashValue="X8Mn/BENdgCW6PegivT4/mMRKutRwdowzityfe5sPQU7BBQsBjJhibHGC6FKfDIL4Lb1x6jx1h1SAjBe6KEN2g==" saltValue="No2v5EghHozG9B/EmEWlPg==" spinCount="100000" sqref="N34:O37 N40:O40" name="Range1_1_1"/>
    <protectedRange algorithmName="SHA-512" hashValue="X8Mn/BENdgCW6PegivT4/mMRKutRwdowzityfe5sPQU7BBQsBjJhibHGC6FKfDIL4Lb1x6jx1h1SAjBe6KEN2g==" saltValue="No2v5EghHozG9B/EmEWlPg==" spinCount="100000" sqref="N38:O39" name="Range1_2_1_3"/>
    <protectedRange algorithmName="SHA-512" hashValue="X8Mn/BENdgCW6PegivT4/mMRKutRwdowzityfe5sPQU7BBQsBjJhibHGC6FKfDIL4Lb1x6jx1h1SAjBe6KEN2g==" saltValue="No2v5EghHozG9B/EmEWlPg==" spinCount="100000" sqref="N48:O48" name="Range1_1_2"/>
    <protectedRange algorithmName="SHA-512" hashValue="X8Mn/BENdgCW6PegivT4/mMRKutRwdowzityfe5sPQU7BBQsBjJhibHGC6FKfDIL4Lb1x6jx1h1SAjBe6KEN2g==" saltValue="No2v5EghHozG9B/EmEWlPg==" spinCount="100000" sqref="N43:O45" name="Range1_2_1_4"/>
    <protectedRange algorithmName="SHA-512" hashValue="X8Mn/BENdgCW6PegivT4/mMRKutRwdowzityfe5sPQU7BBQsBjJhibHGC6FKfDIL4Lb1x6jx1h1SAjBe6KEN2g==" saltValue="No2v5EghHozG9B/EmEWlPg==" spinCount="100000" sqref="N51:O56" name="Range1_2_1_5"/>
    <protectedRange algorithmName="SHA-512" hashValue="X8Mn/BENdgCW6PegivT4/mMRKutRwdowzityfe5sPQU7BBQsBjJhibHGC6FKfDIL4Lb1x6jx1h1SAjBe6KEN2g==" saltValue="No2v5EghHozG9B/EmEWlPg==" spinCount="100000" sqref="N58:O59" name="Range1_1_3"/>
    <protectedRange algorithmName="SHA-512" hashValue="X8Mn/BENdgCW6PegivT4/mMRKutRwdowzityfe5sPQU7BBQsBjJhibHGC6FKfDIL4Lb1x6jx1h1SAjBe6KEN2g==" saltValue="No2v5EghHozG9B/EmEWlPg==" spinCount="100000" sqref="N61:O64" name="Range1_2_1_6"/>
    <protectedRange algorithmName="SHA-512" hashValue="X8Mn/BENdgCW6PegivT4/mMRKutRwdowzityfe5sPQU7BBQsBjJhibHGC6FKfDIL4Lb1x6jx1h1SAjBe6KEN2g==" saltValue="No2v5EghHozG9B/EmEWlPg==" spinCount="100000" sqref="N66:O68" name="Range1_2_1_7"/>
    <protectedRange algorithmName="SHA-512" hashValue="X8Mn/BENdgCW6PegivT4/mMRKutRwdowzityfe5sPQU7BBQsBjJhibHGC6FKfDIL4Lb1x6jx1h1SAjBe6KEN2g==" saltValue="No2v5EghHozG9B/EmEWlPg==" spinCount="100000" sqref="N72:O74" name="Range1_2_1_8"/>
    <protectedRange algorithmName="SHA-512" hashValue="X8Mn/BENdgCW6PegivT4/mMRKutRwdowzityfe5sPQU7BBQsBjJhibHGC6FKfDIL4Lb1x6jx1h1SAjBe6KEN2g==" saltValue="No2v5EghHozG9B/EmEWlPg==" spinCount="100000" sqref="N76:O77" name="Range1_2_1_9"/>
    <protectedRange algorithmName="SHA-512" hashValue="X8Mn/BENdgCW6PegivT4/mMRKutRwdowzityfe5sPQU7BBQsBjJhibHGC6FKfDIL4Lb1x6jx1h1SAjBe6KEN2g==" saltValue="No2v5EghHozG9B/EmEWlPg==" spinCount="100000" sqref="N81:O85" name="Range1_2_1_10"/>
    <protectedRange algorithmName="SHA-512" hashValue="X8Mn/BENdgCW6PegivT4/mMRKutRwdowzityfe5sPQU7BBQsBjJhibHGC6FKfDIL4Lb1x6jx1h1SAjBe6KEN2g==" saltValue="No2v5EghHozG9B/EmEWlPg==" spinCount="100000" sqref="N87:O89" name="Range1_2_1_11"/>
    <protectedRange algorithmName="SHA-512" hashValue="X8Mn/BENdgCW6PegivT4/mMRKutRwdowzityfe5sPQU7BBQsBjJhibHGC6FKfDIL4Lb1x6jx1h1SAjBe6KEN2g==" saltValue="No2v5EghHozG9B/EmEWlPg==" spinCount="100000" sqref="N91:O94" name="Range1_2_1_12"/>
    <protectedRange algorithmName="SHA-512" hashValue="X8Mn/BENdgCW6PegivT4/mMRKutRwdowzityfe5sPQU7BBQsBjJhibHGC6FKfDIL4Lb1x6jx1h1SAjBe6KEN2g==" saltValue="No2v5EghHozG9B/EmEWlPg==" spinCount="100000" sqref="N96:O97" name="Range1_2_1_13"/>
    <protectedRange algorithmName="SHA-512" hashValue="X8Mn/BENdgCW6PegivT4/mMRKutRwdowzityfe5sPQU7BBQsBjJhibHGC6FKfDIL4Lb1x6jx1h1SAjBe6KEN2g==" saltValue="No2v5EghHozG9B/EmEWlPg==" spinCount="100000" sqref="N101:O103" name="Range1_1_4"/>
    <protectedRange algorithmName="SHA-512" hashValue="X8Mn/BENdgCW6PegivT4/mMRKutRwdowzityfe5sPQU7BBQsBjJhibHGC6FKfDIL4Lb1x6jx1h1SAjBe6KEN2g==" saltValue="No2v5EghHozG9B/EmEWlPg==" spinCount="100000" sqref="N105:O106" name="Range1_1_5"/>
    <protectedRange algorithmName="SHA-512" hashValue="X8Mn/BENdgCW6PegivT4/mMRKutRwdowzityfe5sPQU7BBQsBjJhibHGC6FKfDIL4Lb1x6jx1h1SAjBe6KEN2g==" saltValue="No2v5EghHozG9B/EmEWlPg==" spinCount="100000" sqref="N108:O110" name="Range1_2_1_14"/>
    <protectedRange algorithmName="SHA-512" hashValue="X8Mn/BENdgCW6PegivT4/mMRKutRwdowzityfe5sPQU7BBQsBjJhibHGC6FKfDIL4Lb1x6jx1h1SAjBe6KEN2g==" saltValue="No2v5EghHozG9B/EmEWlPg==" spinCount="100000" sqref="N114:O114" name="Range1_1_6"/>
    <protectedRange algorithmName="SHA-512" hashValue="X8Mn/BENdgCW6PegivT4/mMRKutRwdowzityfe5sPQU7BBQsBjJhibHGC6FKfDIL4Lb1x6jx1h1SAjBe6KEN2g==" saltValue="No2v5EghHozG9B/EmEWlPg==" spinCount="100000" sqref="N112:O113 N115:O116" name="Range1_2_1_15"/>
    <protectedRange algorithmName="SHA-512" hashValue="X8Mn/BENdgCW6PegivT4/mMRKutRwdowzityfe5sPQU7BBQsBjJhibHGC6FKfDIL4Lb1x6jx1h1SAjBe6KEN2g==" saltValue="No2v5EghHozG9B/EmEWlPg==" spinCount="100000" sqref="I18 I33:J33 I7" name="Range1_1_7"/>
    <protectedRange algorithmName="SHA-512" hashValue="X8Mn/BENdgCW6PegivT4/mMRKutRwdowzityfe5sPQU7BBQsBjJhibHGC6FKfDIL4Lb1x6jx1h1SAjBe6KEN2g==" saltValue="No2v5EghHozG9B/EmEWlPg==" spinCount="100000" sqref="K5" name="Range1_2_1_2_1"/>
    <protectedRange algorithmName="SHA-512" hashValue="X8Mn/BENdgCW6PegivT4/mMRKutRwdowzityfe5sPQU7BBQsBjJhibHGC6FKfDIL4Lb1x6jx1h1SAjBe6KEN2g==" saltValue="No2v5EghHozG9B/EmEWlPg==" spinCount="100000" sqref="I16:I17" name="Range1_1_8"/>
    <protectedRange algorithmName="SHA-512" hashValue="X8Mn/BENdgCW6PegivT4/mMRKutRwdowzityfe5sPQU7BBQsBjJhibHGC6FKfDIL4Lb1x6jx1h1SAjBe6KEN2g==" saltValue="No2v5EghHozG9B/EmEWlPg==" spinCount="100000" sqref="I56" name="Range1_1_9"/>
    <protectedRange algorithmName="SHA-512" hashValue="X8Mn/BENdgCW6PegivT4/mMRKutRwdowzityfe5sPQU7BBQsBjJhibHGC6FKfDIL4Lb1x6jx1h1SAjBe6KEN2g==" saltValue="No2v5EghHozG9B/EmEWlPg==" spinCount="100000" sqref="B122 D122:G122" name="Range1_1_1_1"/>
    <protectedRange algorithmName="SHA-512" hashValue="X8Mn/BENdgCW6PegivT4/mMRKutRwdowzityfe5sPQU7BBQsBjJhibHGC6FKfDIL4Lb1x6jx1h1SAjBe6KEN2g==" saltValue="No2v5EghHozG9B/EmEWlPg==" spinCount="100000" sqref="H122" name="Range1_2_1_1_1"/>
    <protectedRange algorithmName="SHA-512" hashValue="X8Mn/BENdgCW6PegivT4/mMRKutRwdowzityfe5sPQU7BBQsBjJhibHGC6FKfDIL4Lb1x6jx1h1SAjBe6KEN2g==" saltValue="No2v5EghHozG9B/EmEWlPg==" spinCount="100000" sqref="E117:F121 D117:D118 B117:B121" name="Range1_1_1_1_1"/>
    <protectedRange algorithmName="SHA-512" hashValue="X8Mn/BENdgCW6PegivT4/mMRKutRwdowzityfe5sPQU7BBQsBjJhibHGC6FKfDIL4Lb1x6jx1h1SAjBe6KEN2g==" saltValue="No2v5EghHozG9B/EmEWlPg==" spinCount="100000" sqref="G120:H121" name="Range1_2_1_1_1_1"/>
    <protectedRange algorithmName="SHA-512" hashValue="X8Mn/BENdgCW6PegivT4/mMRKutRwdowzityfe5sPQU7BBQsBjJhibHGC6FKfDIL4Lb1x6jx1h1SAjBe6KEN2g==" saltValue="No2v5EghHozG9B/EmEWlPg==" spinCount="100000" sqref="P5" name="Range1_1_11"/>
  </protectedRanges>
  <autoFilter ref="A5:R45"/>
  <mergeCells count="25">
    <mergeCell ref="B117:J117"/>
    <mergeCell ref="B122:J122"/>
    <mergeCell ref="B121:J121"/>
    <mergeCell ref="B120:J120"/>
    <mergeCell ref="B119:J119"/>
    <mergeCell ref="B118:J118"/>
    <mergeCell ref="C3:E3"/>
    <mergeCell ref="I7:J7"/>
    <mergeCell ref="I18:J18"/>
    <mergeCell ref="I33:J33"/>
    <mergeCell ref="I104:J104"/>
    <mergeCell ref="I107:J107"/>
    <mergeCell ref="I111:J111"/>
    <mergeCell ref="I42:J42"/>
    <mergeCell ref="I49:J49"/>
    <mergeCell ref="I57:J57"/>
    <mergeCell ref="I60:J60"/>
    <mergeCell ref="I65:J65"/>
    <mergeCell ref="I70:J70"/>
    <mergeCell ref="I75:J75"/>
    <mergeCell ref="I80:J80"/>
    <mergeCell ref="I86:J86"/>
    <mergeCell ref="I90:J90"/>
    <mergeCell ref="I95:J95"/>
    <mergeCell ref="I100:J100"/>
  </mergeCells>
  <phoneticPr fontId="28" type="noConversion"/>
  <conditionalFormatting sqref="G115:G116">
    <cfRule type="duplicateValues" dxfId="7" priority="3"/>
  </conditionalFormatting>
  <conditionalFormatting sqref="G112">
    <cfRule type="duplicateValues" dxfId="6" priority="2"/>
  </conditionalFormatting>
  <conditionalFormatting sqref="G114">
    <cfRule type="duplicateValues" dxfId="5" priority="1"/>
  </conditionalFormatting>
  <conditionalFormatting sqref="G108:G110">
    <cfRule type="duplicateValues" dxfId="4" priority="5"/>
  </conditionalFormatting>
  <dataValidations count="1">
    <dataValidation type="list" allowBlank="1" showInputMessage="1" showErrorMessage="1" sqref="P9:P17 P19:P32 P34:P40 P61:P64 P58:P59 P51:P56 P108:P110 P105:P106 P101:P103 P96:P98 P91:P94 P87:P89 P81:P85 P76:P79 P72:P74 P66:P68 P48 P43:P45 P112:P116">
      <formula1>$R$3:$R$4</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selection activeCell="B28" sqref="B28"/>
    </sheetView>
  </sheetViews>
  <sheetFormatPr defaultRowHeight="12.75" x14ac:dyDescent="0.2"/>
  <cols>
    <col min="1" max="1" width="76" customWidth="1"/>
    <col min="2" max="2" width="20.85546875" customWidth="1"/>
  </cols>
  <sheetData>
    <row r="1" spans="1:4" x14ac:dyDescent="0.2">
      <c r="A1" s="138" t="s">
        <v>273</v>
      </c>
      <c r="B1" s="139"/>
    </row>
    <row r="2" spans="1:4" x14ac:dyDescent="0.2">
      <c r="A2" s="139"/>
      <c r="B2" s="139"/>
    </row>
    <row r="3" spans="1:4" x14ac:dyDescent="0.2">
      <c r="A3" s="144" t="s">
        <v>237</v>
      </c>
      <c r="B3" s="145" t="s">
        <v>229</v>
      </c>
    </row>
    <row r="4" spans="1:4" x14ac:dyDescent="0.2">
      <c r="A4" s="140" t="s">
        <v>133</v>
      </c>
      <c r="B4" s="141"/>
    </row>
    <row r="5" spans="1:4" x14ac:dyDescent="0.2">
      <c r="A5" s="142" t="s">
        <v>132</v>
      </c>
      <c r="B5" s="143"/>
    </row>
    <row r="6" spans="1:4" x14ac:dyDescent="0.2">
      <c r="A6" s="139"/>
      <c r="B6" s="139"/>
    </row>
    <row r="7" spans="1:4" x14ac:dyDescent="0.2">
      <c r="A7" s="139"/>
      <c r="B7" s="139"/>
    </row>
    <row r="8" spans="1:4" x14ac:dyDescent="0.2">
      <c r="A8" s="144" t="s">
        <v>272</v>
      </c>
      <c r="B8" s="145" t="s">
        <v>229</v>
      </c>
      <c r="D8" s="137" t="s">
        <v>136</v>
      </c>
    </row>
    <row r="9" spans="1:4" x14ac:dyDescent="0.2">
      <c r="A9" s="140" t="s">
        <v>224</v>
      </c>
      <c r="B9" s="141"/>
    </row>
    <row r="10" spans="1:4" x14ac:dyDescent="0.2">
      <c r="A10" s="140" t="s">
        <v>225</v>
      </c>
      <c r="B10" s="141"/>
    </row>
    <row r="11" spans="1:4" x14ac:dyDescent="0.2">
      <c r="A11" s="140" t="s">
        <v>226</v>
      </c>
      <c r="B11" s="141"/>
    </row>
    <row r="12" spans="1:4" x14ac:dyDescent="0.2">
      <c r="A12" s="140" t="s">
        <v>240</v>
      </c>
      <c r="B12" s="141"/>
    </row>
    <row r="13" spans="1:4" x14ac:dyDescent="0.2">
      <c r="A13" s="140" t="s">
        <v>227</v>
      </c>
      <c r="B13" s="141"/>
    </row>
    <row r="14" spans="1:4" x14ac:dyDescent="0.2">
      <c r="A14" s="140" t="s">
        <v>239</v>
      </c>
      <c r="B14" s="141"/>
    </row>
    <row r="15" spans="1:4" x14ac:dyDescent="0.2">
      <c r="A15" s="140" t="s">
        <v>228</v>
      </c>
      <c r="B15" s="141"/>
    </row>
    <row r="16" spans="1:4" x14ac:dyDescent="0.2">
      <c r="A16" s="140" t="s">
        <v>359</v>
      </c>
      <c r="B16" s="141"/>
    </row>
    <row r="17" spans="1:9" ht="13.5" customHeight="1" x14ac:dyDescent="0.2">
      <c r="A17" s="140" t="s">
        <v>238</v>
      </c>
      <c r="B17" s="141"/>
      <c r="I17" s="136"/>
    </row>
    <row r="18" spans="1:9" ht="15" x14ac:dyDescent="0.2">
      <c r="A18" s="140" t="s">
        <v>137</v>
      </c>
      <c r="B18" s="141"/>
      <c r="I18" s="136"/>
    </row>
    <row r="19" spans="1:9" ht="15" x14ac:dyDescent="0.2">
      <c r="A19" s="140" t="s">
        <v>305</v>
      </c>
      <c r="B19" s="141"/>
      <c r="I19" s="136"/>
    </row>
    <row r="20" spans="1:9" ht="14.25" customHeight="1" x14ac:dyDescent="0.2">
      <c r="A20" s="142" t="s">
        <v>306</v>
      </c>
      <c r="B20" s="143"/>
      <c r="I20" s="136"/>
    </row>
    <row r="21" spans="1:9" ht="15" x14ac:dyDescent="0.2">
      <c r="A21" s="139"/>
      <c r="B21" s="139"/>
      <c r="I21" s="136"/>
    </row>
    <row r="22" spans="1:9" ht="15" x14ac:dyDescent="0.2">
      <c r="A22" s="139"/>
      <c r="B22" s="139"/>
      <c r="I22" s="136"/>
    </row>
    <row r="23" spans="1:9" ht="15" x14ac:dyDescent="0.2">
      <c r="A23" s="139"/>
      <c r="B23" s="139"/>
      <c r="I23" s="136"/>
    </row>
    <row r="24" spans="1:9" x14ac:dyDescent="0.2">
      <c r="A24" s="139"/>
      <c r="B24" s="139"/>
    </row>
    <row r="25" spans="1:9" x14ac:dyDescent="0.2">
      <c r="A25" s="139"/>
      <c r="B25" s="139"/>
    </row>
  </sheetData>
  <conditionalFormatting sqref="B9:B20">
    <cfRule type="cellIs" dxfId="3" priority="3" operator="equal">
      <formula>"No"</formula>
    </cfRule>
    <cfRule type="cellIs" dxfId="2" priority="4" operator="equal">
      <formula>"Yes"</formula>
    </cfRule>
  </conditionalFormatting>
  <conditionalFormatting sqref="B4:B5">
    <cfRule type="cellIs" dxfId="1" priority="1" operator="equal">
      <formula>"No"</formula>
    </cfRule>
    <cfRule type="cellIs" dxfId="0" priority="2" operator="equal">
      <formula>"Yes"</formula>
    </cfRule>
  </conditionalFormatting>
  <dataValidations count="1">
    <dataValidation type="list" allowBlank="1" showInputMessage="1" showErrorMessage="1" sqref="B9:B20 B4:B5">
      <formula1>$D$8:$D$8</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9AA25421584824F9BD6F8996586A88E" ma:contentTypeVersion="13" ma:contentTypeDescription="Create a new document." ma:contentTypeScope="" ma:versionID="4581df223dc9909b74bbf866a078df01">
  <xsd:schema xmlns:xsd="http://www.w3.org/2001/XMLSchema" xmlns:xs="http://www.w3.org/2001/XMLSchema" xmlns:p="http://schemas.microsoft.com/office/2006/metadata/properties" xmlns:ns3="1f33b567-8934-4065-9424-365bd2493b30" xmlns:ns4="a9733e5a-5ef7-415c-80e3-a2618da45423" targetNamespace="http://schemas.microsoft.com/office/2006/metadata/properties" ma:root="true" ma:fieldsID="3001811706de8b14738658142672af3f" ns3:_="" ns4:_="">
    <xsd:import namespace="1f33b567-8934-4065-9424-365bd2493b30"/>
    <xsd:import namespace="a9733e5a-5ef7-415c-80e3-a2618da4542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33b567-8934-4065-9424-365bd2493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733e5a-5ef7-415c-80e3-a2618da4542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5D4A7F2-FE53-482D-AAB1-BD27659E5225}">
  <ds:schemaRefs>
    <ds:schemaRef ds:uri="http://schemas.microsoft.com/sharepoint/v3/contenttype/forms"/>
  </ds:schemaRefs>
</ds:datastoreItem>
</file>

<file path=customXml/itemProps2.xml><?xml version="1.0" encoding="utf-8"?>
<ds:datastoreItem xmlns:ds="http://schemas.openxmlformats.org/officeDocument/2006/customXml" ds:itemID="{F875522F-B9E9-42A3-9B00-356EF79888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33b567-8934-4065-9424-365bd2493b30"/>
    <ds:schemaRef ds:uri="a9733e5a-5ef7-415c-80e3-a2618da454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3C31BD-1329-475B-A48A-36E60D2F0333}">
  <ds:schemaRefs>
    <ds:schemaRef ds:uri="http://purl.org/dc/terms/"/>
    <ds:schemaRef ds:uri="a9733e5a-5ef7-415c-80e3-a2618da4542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1f33b567-8934-4065-9424-365bd2493b3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Full indicator list</vt:lpstr>
      <vt:lpstr>Strategies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Novotny</dc:creator>
  <cp:keywords/>
  <dc:description/>
  <cp:lastModifiedBy>Prasad Thakur</cp:lastModifiedBy>
  <cp:revision/>
  <dcterms:created xsi:type="dcterms:W3CDTF">2019-08-15T14:59:06Z</dcterms:created>
  <dcterms:modified xsi:type="dcterms:W3CDTF">2021-07-19T07:03:22Z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0x010100C9AA25421584824F9BD6F8996586A88E</vt:lpwstr>
  </property>
</Properties>
</file>